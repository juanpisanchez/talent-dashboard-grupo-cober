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defaultThemeVersion="166925"/>
  <mc:AlternateContent xmlns:mc="http://schemas.openxmlformats.org/markup-compatibility/2006">
    <mc:Choice Requires="x15">
      <x15ac:absPath xmlns:x15ac="http://schemas.microsoft.com/office/spreadsheetml/2010/11/ac" url="C:\Users\Juan Pablo Sanchez\Downloads\"/>
    </mc:Choice>
  </mc:AlternateContent>
  <xr:revisionPtr revIDLastSave="0" documentId="8_{0C9E65D6-3107-4914-86BC-142D7CFD907C}" xr6:coauthVersionLast="47" xr6:coauthVersionMax="47" xr10:uidLastSave="{00000000-0000-0000-0000-000000000000}"/>
  <bookViews>
    <workbookView xWindow="0" yWindow="0" windowWidth="20490" windowHeight="7545" xr2:uid="{3B13A29B-20F1-4D27-890C-391D6AD58285}"/>
  </bookViews>
  <sheets>
    <sheet name="BASE" sheetId="1" r:id="rId1"/>
    <sheet name="TD" sheetId="3" r:id="rId2"/>
    <sheet name="Referencias" sheetId="2" r:id="rId3"/>
    <sheet name="Estructura del archivo" sheetId="4" r:id="rId4"/>
    <sheet name="Búsqueda rápida. " sheetId="5" r:id="rId5"/>
  </sheets>
  <definedNames>
    <definedName name="_xlnm._FilterDatabase" localSheetId="0" hidden="1">BASE!$A$1:$AO$400</definedName>
  </definedNames>
  <calcPr calcId="191028"/>
  <pivotCaches>
    <pivotCache cacheId="207" r:id="rId6"/>
    <pivotCache cacheId="208" r:id="rId7"/>
    <pivotCache cacheId="209"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0" i="1" l="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278" i="1"/>
  <c r="C240" i="1"/>
  <c r="C166" i="1"/>
  <c r="C251" i="1"/>
  <c r="C250" i="1"/>
  <c r="C271" i="1"/>
  <c r="C277" i="1"/>
  <c r="C191" i="1"/>
  <c r="C280" i="1"/>
  <c r="B17" i="5"/>
  <c r="B16" i="5"/>
  <c r="B15" i="5"/>
  <c r="B14" i="5"/>
  <c r="B13" i="5"/>
  <c r="B12" i="5"/>
  <c r="B11" i="5"/>
  <c r="B10" i="5"/>
  <c r="B9" i="5"/>
  <c r="B8" i="5"/>
  <c r="B7" i="5"/>
  <c r="B6" i="5"/>
  <c r="B5" i="5"/>
  <c r="B4" i="5"/>
  <c r="B3" i="5"/>
  <c r="B2" i="5"/>
  <c r="C173" i="1"/>
  <c r="C296" i="1"/>
  <c r="C295" i="1"/>
  <c r="C289" i="1"/>
  <c r="C288" i="1"/>
  <c r="C268" i="1"/>
  <c r="C260" i="1"/>
  <c r="C241" i="1"/>
  <c r="C201" i="1"/>
  <c r="C202" i="1"/>
  <c r="C203" i="1"/>
  <c r="C204" i="1"/>
  <c r="C205" i="1"/>
  <c r="C244" i="1"/>
  <c r="C245" i="1"/>
  <c r="C239" i="1"/>
  <c r="C238" i="1"/>
  <c r="C237" i="1"/>
  <c r="C236" i="1"/>
  <c r="C235" i="1"/>
  <c r="C234" i="1"/>
  <c r="C233" i="1"/>
  <c r="C232" i="1"/>
  <c r="C231" i="1"/>
  <c r="C200" i="1"/>
  <c r="C178" i="1"/>
  <c r="C180" i="1"/>
  <c r="C179" i="1"/>
  <c r="C222" i="1"/>
  <c r="C221" i="1"/>
  <c r="C219" i="1"/>
  <c r="C218" i="1"/>
  <c r="C217" i="1"/>
  <c r="C216" i="1"/>
  <c r="C215" i="1"/>
  <c r="C214" i="1"/>
  <c r="C5" i="1"/>
  <c r="C3" i="1"/>
  <c r="C4" i="1"/>
  <c r="C6" i="1"/>
  <c r="C7" i="1"/>
  <c r="C8" i="1"/>
  <c r="C9" i="1"/>
  <c r="C10" i="1"/>
  <c r="C11" i="1"/>
  <c r="C12" i="1"/>
  <c r="C13" i="1"/>
  <c r="C14" i="1"/>
  <c r="C15" i="1"/>
  <c r="C16" i="1"/>
  <c r="C17" i="1"/>
  <c r="C18" i="1"/>
  <c r="C193" i="1"/>
  <c r="C19" i="1"/>
  <c r="C20" i="1"/>
  <c r="C21" i="1"/>
  <c r="C112"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3" i="1"/>
  <c r="C114" i="1"/>
  <c r="C115" i="1"/>
  <c r="C116" i="1"/>
  <c r="C117" i="1"/>
  <c r="C118" i="1"/>
  <c r="C119" i="1"/>
  <c r="C120" i="1"/>
  <c r="C121" i="1"/>
  <c r="C122" i="1"/>
  <c r="C123" i="1"/>
  <c r="C124" i="1"/>
  <c r="C125" i="1"/>
  <c r="C126" i="1"/>
  <c r="C127" i="1"/>
  <c r="C128" i="1"/>
  <c r="C129" i="1"/>
  <c r="C130" i="1"/>
  <c r="C183" i="1"/>
  <c r="C131" i="1"/>
  <c r="C132" i="1"/>
  <c r="C133" i="1"/>
  <c r="C134" i="1"/>
  <c r="C135" i="1"/>
  <c r="C136" i="1"/>
  <c r="C137" i="1"/>
  <c r="C138" i="1"/>
  <c r="C139" i="1"/>
  <c r="C140" i="1"/>
  <c r="C141" i="1"/>
  <c r="C142" i="1"/>
  <c r="C143" i="1"/>
  <c r="C144" i="1"/>
  <c r="C145" i="1"/>
  <c r="C146" i="1"/>
  <c r="C147" i="1"/>
  <c r="C148" i="1"/>
  <c r="C149" i="1"/>
  <c r="C150" i="1"/>
  <c r="C151" i="1"/>
  <c r="C152" i="1"/>
  <c r="C153" i="1"/>
  <c r="C154" i="1"/>
  <c r="C184" i="1"/>
  <c r="C156" i="1"/>
  <c r="C157" i="1"/>
  <c r="C158" i="1"/>
  <c r="C159" i="1"/>
  <c r="C160" i="1"/>
  <c r="C161" i="1"/>
  <c r="C162" i="1"/>
  <c r="C163" i="1"/>
  <c r="C164" i="1"/>
  <c r="C165" i="1"/>
  <c r="C167" i="1"/>
  <c r="C168" i="1"/>
  <c r="C169" i="1"/>
  <c r="C170" i="1"/>
  <c r="C171" i="1"/>
  <c r="C172" i="1"/>
  <c r="C208" i="1"/>
  <c r="C174" i="1"/>
  <c r="C175" i="1"/>
  <c r="C176" i="1"/>
  <c r="C177" i="1"/>
  <c r="C181" i="1"/>
  <c r="C182" i="1"/>
  <c r="C187" i="1"/>
  <c r="C188" i="1"/>
  <c r="C189" i="1"/>
  <c r="C192" i="1"/>
  <c r="C194" i="1"/>
  <c r="C195" i="1"/>
  <c r="C196" i="1"/>
  <c r="C197" i="1"/>
  <c r="C198" i="1"/>
  <c r="C199" i="1"/>
  <c r="C190" i="1"/>
  <c r="C155" i="1"/>
  <c r="C185" i="1"/>
  <c r="C186" i="1"/>
  <c r="C206" i="1"/>
  <c r="C207" i="1"/>
  <c r="C209" i="1"/>
  <c r="C210" i="1"/>
  <c r="C211" i="1"/>
  <c r="C212" i="1"/>
  <c r="C213" i="1"/>
  <c r="C220" i="1"/>
  <c r="C223" i="1"/>
  <c r="C224" i="1"/>
  <c r="C225" i="1"/>
  <c r="C226" i="1"/>
  <c r="C227" i="1"/>
  <c r="C228" i="1"/>
  <c r="C229" i="1"/>
  <c r="C230" i="1"/>
  <c r="C242" i="1"/>
  <c r="C243" i="1"/>
  <c r="C246" i="1"/>
  <c r="C247" i="1"/>
  <c r="C248" i="1"/>
  <c r="C249" i="1"/>
  <c r="C252" i="1"/>
  <c r="C253" i="1"/>
  <c r="C254" i="1"/>
  <c r="C255" i="1"/>
  <c r="C256" i="1"/>
  <c r="C257" i="1"/>
  <c r="C258" i="1"/>
  <c r="C259" i="1"/>
  <c r="C261" i="1"/>
  <c r="C262" i="1"/>
  <c r="C263" i="1"/>
  <c r="C264" i="1"/>
  <c r="C265" i="1"/>
  <c r="C266" i="1"/>
  <c r="C267" i="1"/>
  <c r="C269" i="1"/>
  <c r="C270" i="1"/>
  <c r="C272" i="1"/>
  <c r="C273" i="1"/>
  <c r="C274" i="1"/>
  <c r="C275" i="1"/>
  <c r="C276" i="1"/>
  <c r="C279" i="1"/>
  <c r="C281" i="1"/>
  <c r="C282" i="1"/>
  <c r="C283" i="1"/>
  <c r="C284" i="1"/>
  <c r="C285" i="1"/>
  <c r="C286" i="1"/>
  <c r="C287" i="1"/>
  <c r="C290" i="1"/>
  <c r="C291" i="1"/>
  <c r="C292" i="1"/>
  <c r="C293" i="1"/>
  <c r="C294" i="1"/>
  <c r="C297" i="1"/>
  <c r="C298" i="1"/>
  <c r="C299" i="1"/>
  <c r="C300" i="1"/>
  <c r="C301" i="1"/>
  <c r="C302" i="1"/>
  <c r="C303" i="1"/>
  <c r="C304" i="1"/>
  <c r="C305" i="1"/>
  <c r="C306" i="1"/>
  <c r="C307" i="1"/>
  <c r="C308" i="1"/>
  <c r="C309" i="1"/>
  <c r="C310" i="1"/>
  <c r="C311" i="1"/>
  <c r="C312" i="1"/>
  <c r="C313" i="1"/>
  <c r="C314" i="1"/>
  <c r="C315" i="1"/>
  <c r="C316" i="1"/>
  <c r="C2" i="1"/>
</calcChain>
</file>

<file path=xl/sharedStrings.xml><?xml version="1.0" encoding="utf-8"?>
<sst xmlns="http://schemas.openxmlformats.org/spreadsheetml/2006/main" count="7571" uniqueCount="1887">
  <si>
    <t>N° Vacante</t>
  </si>
  <si>
    <t>Fecha de solicitud</t>
  </si>
  <si>
    <t>Días de apertura</t>
  </si>
  <si>
    <t>Selector</t>
  </si>
  <si>
    <t>Estado de aprobación</t>
  </si>
  <si>
    <t>¿Aplica para movimiento interno de reasignación?</t>
  </si>
  <si>
    <t>Confidencial</t>
  </si>
  <si>
    <t>Vacante sujeta a futura desvinculación</t>
  </si>
  <si>
    <t>Fecha estimada de desvinculación</t>
  </si>
  <si>
    <t>Unidad de Negocio</t>
  </si>
  <si>
    <t>Razon Social</t>
  </si>
  <si>
    <t>Sector</t>
  </si>
  <si>
    <t>Centro de Costo</t>
  </si>
  <si>
    <t>Familia de Puesto</t>
  </si>
  <si>
    <t xml:space="preserve">Puesto </t>
  </si>
  <si>
    <t>Líder</t>
  </si>
  <si>
    <t>Hiring Manager</t>
  </si>
  <si>
    <t>Status general</t>
  </si>
  <si>
    <t xml:space="preserve">Status del proceso </t>
  </si>
  <si>
    <t>Fecha estimada de ingreso</t>
  </si>
  <si>
    <t>Dificultad</t>
  </si>
  <si>
    <t>Prioridad</t>
  </si>
  <si>
    <t>Tipo de vacante</t>
  </si>
  <si>
    <t>Número de Legajo del reemplazo</t>
  </si>
  <si>
    <t xml:space="preserve">Nombre de reemplazo </t>
  </si>
  <si>
    <t>Motivo de contratación</t>
  </si>
  <si>
    <t>Modalidad de contratación</t>
  </si>
  <si>
    <t>Justificación de la cobertura</t>
  </si>
  <si>
    <t>¿Qué ocurre si la vacante no se cubre?</t>
  </si>
  <si>
    <t xml:space="preserve">Horario </t>
  </si>
  <si>
    <t xml:space="preserve">Lugar de trabajo </t>
  </si>
  <si>
    <t>Fecha de cierre</t>
  </si>
  <si>
    <t>Fecha de Ingreso</t>
  </si>
  <si>
    <t>Tipo de Búsqueda</t>
  </si>
  <si>
    <t xml:space="preserve">Fuente de selección </t>
  </si>
  <si>
    <t>Nombre del seleccionado/a</t>
  </si>
  <si>
    <t>Remuneración acordada</t>
  </si>
  <si>
    <t>CCT</t>
  </si>
  <si>
    <t>Notebook</t>
  </si>
  <si>
    <t>Blue</t>
  </si>
  <si>
    <t>Comentarios</t>
  </si>
  <si>
    <t>00001</t>
  </si>
  <si>
    <t>Franco</t>
  </si>
  <si>
    <t>Aprobada</t>
  </si>
  <si>
    <t>No</t>
  </si>
  <si>
    <t>PREPAGA</t>
  </si>
  <si>
    <t>Cobensil SA</t>
  </si>
  <si>
    <t>Ventas Retail</t>
  </si>
  <si>
    <t>Comercial</t>
  </si>
  <si>
    <t>Comercial, ventas y cobranzas</t>
  </si>
  <si>
    <t>VENDEDOR/A</t>
  </si>
  <si>
    <t>Serafin</t>
  </si>
  <si>
    <t xml:space="preserve">Cerrada </t>
  </si>
  <si>
    <t xml:space="preserve">Ingreso </t>
  </si>
  <si>
    <t>Reemplazo</t>
  </si>
  <si>
    <t>MOYANO ARIANA SOLEDAD (168710)</t>
  </si>
  <si>
    <t xml:space="preserve">Inderminado </t>
  </si>
  <si>
    <t>Lunes a Viernes de 10 a 18hs</t>
  </si>
  <si>
    <t>Sede Colegiales (Lacroze 3257)</t>
  </si>
  <si>
    <t>BANEGAS NEMBHARD, MARYANA ALEXANDRA</t>
  </si>
  <si>
    <t>$1.271.329,36 bruto /  $1.036.688,00 neto</t>
  </si>
  <si>
    <t>130/75</t>
  </si>
  <si>
    <t>00002</t>
  </si>
  <si>
    <t>Apertura de puesto</t>
  </si>
  <si>
    <t>Matias Yanez</t>
  </si>
  <si>
    <t>00003</t>
  </si>
  <si>
    <t xml:space="preserve">Perla Carvajal </t>
  </si>
  <si>
    <t>00004</t>
  </si>
  <si>
    <t>Sergio Couceiro</t>
  </si>
  <si>
    <t>Baja</t>
  </si>
  <si>
    <t>Media</t>
  </si>
  <si>
    <t>Lunes a Viernes de 10 a 18 hs</t>
  </si>
  <si>
    <t>Cober - Vicente Lopez</t>
  </si>
  <si>
    <t>Externa</t>
  </si>
  <si>
    <t>Consultora</t>
  </si>
  <si>
    <t xml:space="preserve"> Lady Gomes </t>
  </si>
  <si>
    <t xml:space="preserve"> $1.271.329,36 Bruto</t>
  </si>
  <si>
    <t>NO</t>
  </si>
  <si>
    <t>00005</t>
  </si>
  <si>
    <t xml:space="preserve"> Joel Dree </t>
  </si>
  <si>
    <t>00006</t>
  </si>
  <si>
    <t xml:space="preserve"> Romina Rojas </t>
  </si>
  <si>
    <t>00007</t>
  </si>
  <si>
    <t xml:space="preserve"> Patricia Mozota</t>
  </si>
  <si>
    <t>Cober - Lacroze</t>
  </si>
  <si>
    <t xml:space="preserve"> Carolina Ledesma </t>
  </si>
  <si>
    <t>00008</t>
  </si>
  <si>
    <t xml:space="preserve"> Julieta Gutcovsky </t>
  </si>
  <si>
    <t>00009</t>
  </si>
  <si>
    <t xml:space="preserve"> Noelia Quintana </t>
  </si>
  <si>
    <t>00010</t>
  </si>
  <si>
    <t>Bristol Medicine SRL</t>
  </si>
  <si>
    <t>Gabriela Mira</t>
  </si>
  <si>
    <t>Lunes a Viernes de 10 a 17hs</t>
  </si>
  <si>
    <t>Bristol - Céspedes</t>
  </si>
  <si>
    <t xml:space="preserve"> Ryan Hutchinson </t>
  </si>
  <si>
    <t xml:space="preserve"> $961.576,34 Bruto</t>
  </si>
  <si>
    <t>108/75</t>
  </si>
  <si>
    <t>00011</t>
  </si>
  <si>
    <t xml:space="preserve"> Katia Lambare </t>
  </si>
  <si>
    <t>00012</t>
  </si>
  <si>
    <t xml:space="preserve">Vanesa Serafin </t>
  </si>
  <si>
    <t xml:space="preserve"> Brian Gryncwejg </t>
  </si>
  <si>
    <t>00013</t>
  </si>
  <si>
    <t>Jose</t>
  </si>
  <si>
    <t>DROGUERÍA</t>
  </si>
  <si>
    <t>Reinsal</t>
  </si>
  <si>
    <t>Ventas</t>
  </si>
  <si>
    <t>Liderazgo</t>
  </si>
  <si>
    <t>Jefe de Ventas</t>
  </si>
  <si>
    <t>Serpone</t>
  </si>
  <si>
    <t>Gabriel De Angelis</t>
  </si>
  <si>
    <t>L a V de 9h a 18h</t>
  </si>
  <si>
    <t>La Musa</t>
  </si>
  <si>
    <t>Juan Pablo Ratuszniak</t>
  </si>
  <si>
    <t>1800000 Neto | Bruto 2.168.675</t>
  </si>
  <si>
    <t>FUCO</t>
  </si>
  <si>
    <t>Ok</t>
  </si>
  <si>
    <t>SI</t>
  </si>
  <si>
    <t>14/11 se reclama agenda a Damián por entrevistas, 20/11 Damián conoce 2 candidatos / 25-11 Damian selecciona un candidato. El candidato se baja por mejora salarial en su trabajo. Se baja del proceso. Reinicia la busqueda /Nuestra propuesta 2 millones en mano + comisiones.</t>
  </si>
  <si>
    <t>00014</t>
  </si>
  <si>
    <t>Cobensil</t>
  </si>
  <si>
    <t>Cobranzas</t>
  </si>
  <si>
    <t>Facturación y Cobranzas</t>
  </si>
  <si>
    <t>Supervisor/a de facturación y cobranzas</t>
  </si>
  <si>
    <t>Rodríguez</t>
  </si>
  <si>
    <t>L a V de 09h a 18h</t>
  </si>
  <si>
    <t>Ravignani</t>
  </si>
  <si>
    <t>Paula García</t>
  </si>
  <si>
    <t>1.800.000$ netos</t>
  </si>
  <si>
    <t>25/11/2025 se presenta una terna de 3 candidatos a Florencia Rodriguez, 05/12 conoció a Paula Garcia, 09/12 fue derivada a psico y preo</t>
  </si>
  <si>
    <t>00015</t>
  </si>
  <si>
    <t>Cancelada</t>
  </si>
  <si>
    <t>Centros Ambulatorios</t>
  </si>
  <si>
    <t>Mantenimiento</t>
  </si>
  <si>
    <t>Servicios de Apoyo</t>
  </si>
  <si>
    <t>Jefe/a de Mantenimiento</t>
  </si>
  <si>
    <t>Porretti</t>
  </si>
  <si>
    <t>Alta</t>
  </si>
  <si>
    <t xml:space="preserve">Baja </t>
  </si>
  <si>
    <t>Lunes a Viernes 9 a 18 hs</t>
  </si>
  <si>
    <t>$ 3.253.012,05 bruto / $ 2.700.000 neto</t>
  </si>
  <si>
    <t xml:space="preserve">Nicolas Ruiz no apto Labo / 1 candidato en curso OK - banda 3 k brutos . Se presentará dos candidatos que no tienen formación requerida para contemplarlos en el análisis </t>
  </si>
  <si>
    <t>00016</t>
  </si>
  <si>
    <t>Ema</t>
  </si>
  <si>
    <t>SANATORIO COLEGIALES</t>
  </si>
  <si>
    <t>CIRENDSA</t>
  </si>
  <si>
    <t>Traumatología</t>
  </si>
  <si>
    <t>Guardia</t>
  </si>
  <si>
    <t>Asistencial/Médicos</t>
  </si>
  <si>
    <t>MEDICO/A</t>
  </si>
  <si>
    <t>Faiman</t>
  </si>
  <si>
    <t>Plazo Fijo</t>
  </si>
  <si>
    <t>MARTES 8 A 20 HS</t>
  </si>
  <si>
    <t>SANATORIO</t>
  </si>
  <si>
    <t>SAMMY OSPINA</t>
  </si>
  <si>
    <t>$977.367,60 bruto / $796.554,59 neto</t>
  </si>
  <si>
    <t>AMAP</t>
  </si>
  <si>
    <t>M8-20 - Esperando certificado especialista // 18-12 recibe el certificado de especialdiad // 22-12 contacto con Faiman para definir ingreso // 26-12 confirma su ingreso</t>
  </si>
  <si>
    <t>00017</t>
  </si>
  <si>
    <t xml:space="preserve">Comercial </t>
  </si>
  <si>
    <t>Administración y Finanzas</t>
  </si>
  <si>
    <t>Responsable de Ventas Institucionales</t>
  </si>
  <si>
    <t>Poeta</t>
  </si>
  <si>
    <t>Leandro Gómez</t>
  </si>
  <si>
    <t>FLorencia Fernandez ( Promoción)</t>
  </si>
  <si>
    <t>19/11 psicotecnico Florencia Fernández actual solaboradora del área / Buscar reemplazo: se presenta 25/11</t>
  </si>
  <si>
    <t>00018</t>
  </si>
  <si>
    <t>Cirenda</t>
  </si>
  <si>
    <t>Procesos Retributivos</t>
  </si>
  <si>
    <t>Administrativo/a</t>
  </si>
  <si>
    <t>FACTURISTA</t>
  </si>
  <si>
    <t>Alvarez</t>
  </si>
  <si>
    <t xml:space="preserve">Eventual </t>
  </si>
  <si>
    <t>Lunes a Viernes de 9 a 18hs</t>
  </si>
  <si>
    <t>Sanatorio</t>
  </si>
  <si>
    <t>Anabella Belen Pantano</t>
  </si>
  <si>
    <t>$1.207.568,30  Bruto / $1.008.912,50 neto</t>
  </si>
  <si>
    <t>Débitos</t>
  </si>
  <si>
    <t>00019</t>
  </si>
  <si>
    <t>CORPO</t>
  </si>
  <si>
    <t>Desarollos en salud</t>
  </si>
  <si>
    <t>Administrativo/a comercial</t>
  </si>
  <si>
    <t>Florencia Anahi Fernandez (157891)</t>
  </si>
  <si>
    <t>La Musa y Sanatorio</t>
  </si>
  <si>
    <t>Yamila Genaisir</t>
  </si>
  <si>
    <t>$1.584.578,31 bruto / $1.315.200,00 Neto</t>
  </si>
  <si>
    <t>Si</t>
  </si>
  <si>
    <t>Puesto: Administrativa de presupuestos. Reemplaza a Florencia por ascenso de esta misma.</t>
  </si>
  <si>
    <t>00020</t>
  </si>
  <si>
    <t>CMV</t>
  </si>
  <si>
    <t>Administrativo/a Contable</t>
  </si>
  <si>
    <t>Rea</t>
  </si>
  <si>
    <t>Agudelo</t>
  </si>
  <si>
    <t>Melanie Laffon</t>
  </si>
  <si>
    <t>$1.300.000 neto</t>
  </si>
  <si>
    <t>20/11 - Eugenia conoce un candidato, el candidato cancela entrevista, 27/11 - Eugenia en conjunto con Rrhh conocera a 2 candidatos. 2 candidatas en preoc. Iba a ingresar el dia 6/1/25 una candidata pero no se presento. Ese mismo dia se retoma busqueda de perfiles. Se avanza con Melanie Laffon</t>
  </si>
  <si>
    <t>00021</t>
  </si>
  <si>
    <t>Hotelería</t>
  </si>
  <si>
    <t>Internación</t>
  </si>
  <si>
    <t>Servicios Generales</t>
  </si>
  <si>
    <t>MUCAMO/A</t>
  </si>
  <si>
    <t>Valeria Dodero</t>
  </si>
  <si>
    <t>Libramento T</t>
  </si>
  <si>
    <t>14-22 HS</t>
  </si>
  <si>
    <t>LEONOR ORELLANA</t>
  </si>
  <si>
    <t>$1.000.154,62  bruto /  $830.004,50 NETO</t>
  </si>
  <si>
    <t>122/75</t>
  </si>
  <si>
    <t>no</t>
  </si>
  <si>
    <t>18-12 8 perfiles en preoc / 30-12 apto</t>
  </si>
  <si>
    <t>00022</t>
  </si>
  <si>
    <t>Kinesiología</t>
  </si>
  <si>
    <t>Terapia Intensiva</t>
  </si>
  <si>
    <t>Asistencial/Otros</t>
  </si>
  <si>
    <t>KINESIOLOGO/A</t>
  </si>
  <si>
    <t>Laredo</t>
  </si>
  <si>
    <t>Menchon J</t>
  </si>
  <si>
    <t>Lunes a Viernes 14 a 20 hs, 1 Sábado y Domingo al mes 8 a 20 hs. Feriado rotativo</t>
  </si>
  <si>
    <t>ARACELI SARMIENTO</t>
  </si>
  <si>
    <t>$1.962.564,65 bruto / $1.628.956,00 neto</t>
  </si>
  <si>
    <t>12/11 Marcos T. - 13/11 18/11 Cvs no avanzan - 28/11 entrevista Lucas M decide no avanzar - 4/12 Patricio M no asiste // 12-12 entrevista Araceli / 18-12 Araceli en preo</t>
  </si>
  <si>
    <t>00023</t>
  </si>
  <si>
    <t>Enfermeria</t>
  </si>
  <si>
    <t>Asistencial/Enfermería</t>
  </si>
  <si>
    <t>Enfermero/a de Terapia Intensiva</t>
  </si>
  <si>
    <t>Alvez</t>
  </si>
  <si>
    <t xml:space="preserve"> Camino C </t>
  </si>
  <si>
    <t>22 A 6 HS</t>
  </si>
  <si>
    <t xml:space="preserve">STEPHANIE VERA                </t>
  </si>
  <si>
    <t>$1.554.520,85  bruto /       $1.295.707,00 neto</t>
  </si>
  <si>
    <t xml:space="preserve">11/11 entrevista. Perfiles sólo de CM. 20/11 entrevista. No gustaron los perfiles UTI/UCO - 03/12 entrevista. Ninguno con experiencia en UTI/UCO asistió. Agendando nueva entrevista / 6 candidatos en preocupacional </t>
  </si>
  <si>
    <t>00024</t>
  </si>
  <si>
    <t xml:space="preserve"> Ibarra Gilda</t>
  </si>
  <si>
    <t>MARIA GONZALEZ</t>
  </si>
  <si>
    <t>00025</t>
  </si>
  <si>
    <t>Fer</t>
  </si>
  <si>
    <t>Cober</t>
  </si>
  <si>
    <t>Gestión de las Personas</t>
  </si>
  <si>
    <t>Analista</t>
  </si>
  <si>
    <t>Liquidador/a de sueldos</t>
  </si>
  <si>
    <t>Ezequiel</t>
  </si>
  <si>
    <t>Lunes a viernes de 8 a 17hs</t>
  </si>
  <si>
    <t>Eduardo Rodriguez Rosales</t>
  </si>
  <si>
    <t>$2.000.000 neto</t>
  </si>
  <si>
    <t>se conoció 1 candidato la primera semana de noviembre, se ajusta el perfil no jr, se sube la remuneración 1.7,  se entrevistaron 3 candidatos/ se vuelve a  ajusto el perfil diversidad de convios que venga de consultoras. Se derivo a consultora se ajusta salario a 2 M</t>
  </si>
  <si>
    <t>00026</t>
  </si>
  <si>
    <t>LABBO</t>
  </si>
  <si>
    <t>Argil</t>
  </si>
  <si>
    <t>Laboratorio</t>
  </si>
  <si>
    <t>Operaciones</t>
  </si>
  <si>
    <t>BIOQUIMICO/A</t>
  </si>
  <si>
    <t>Mercedes</t>
  </si>
  <si>
    <t>Mercdes Miglianone</t>
  </si>
  <si>
    <t>L a V 12h a 18h, Sábado fléxibles</t>
  </si>
  <si>
    <t>Valeria Cánovas</t>
  </si>
  <si>
    <t>2.300.000$ Netos</t>
  </si>
  <si>
    <t>25/11 entrevistas, 12/12 Avanza a psico y preo Valeria Cánovas</t>
  </si>
  <si>
    <t>00027</t>
  </si>
  <si>
    <t>Comunicación</t>
  </si>
  <si>
    <t>Marketing</t>
  </si>
  <si>
    <t>Analista de marketing</t>
  </si>
  <si>
    <t>Pachelo</t>
  </si>
  <si>
    <t>Camila Osa</t>
  </si>
  <si>
    <t>Lunes a viernes de 9 a 18hs</t>
  </si>
  <si>
    <t>Cramer</t>
  </si>
  <si>
    <t>Candela Fernandez</t>
  </si>
  <si>
    <t>$1.600.000 neto</t>
  </si>
  <si>
    <t>Si. (Pedido lunes 09/02/26)</t>
  </si>
  <si>
    <t>18/11 - se envía 6 perfiles a Pachelo, se acuerda esperar el retorno de Lucía de vacaciones para avanzar con entrevista grupal, 4/12 entrevista con 3 candidatos - mencionan que les enviemos mas perfiles para tomar una decision, 9/12 se envian por mail 4 cv's para su analisis y poder coordinar entrevistas. 22/12 Se envia feedback a F.Pachelo de las entrevistas de 3 candidatos que nos gustaron luego de realizar entrevistas. / Pachelo selecciona a una candidata +  Tenemos 1 backup. Se avanza con Guadalupe Diaz Bo el 23-01-26, 28-01-26 se recibe preoc no apto. En paralelo, se envia a entrevista con F.Pachelo candidata de back up el dia 29-01-26. Se avanza con la candidata de back up Candela Fernandez a preoc.</t>
  </si>
  <si>
    <t>00028</t>
  </si>
  <si>
    <t>Administración</t>
  </si>
  <si>
    <t>Especialista</t>
  </si>
  <si>
    <t>CONTADOR/A</t>
  </si>
  <si>
    <t>Colalillo</t>
  </si>
  <si>
    <t>Eugenia Rea</t>
  </si>
  <si>
    <t>Desvinculación empresa</t>
  </si>
  <si>
    <t>LA MUSA</t>
  </si>
  <si>
    <t>JESICA SEGOVIA</t>
  </si>
  <si>
    <t>$ 3.132.530,12 bruto / $ 2.600.000 neto</t>
  </si>
  <si>
    <t>Si. (Pedido Viernes 27/2)</t>
  </si>
  <si>
    <t xml:space="preserve">14/11 relevamiento perfil claudia / 25/11 lectura de cvs / 4/12 3 entrevistas RRHH / 05/12 perfiles enviados a Claudio / 12/12 Claudio solicita entrevistar - 15 a 19/12 Claudio vacaciones /  Claudio entrvistatará 2 candidatos ,semana del 26/01 - 02/02 preo y psico  / 18/02 - No se generó la vacante </t>
  </si>
  <si>
    <t>00029</t>
  </si>
  <si>
    <t>Sistemas</t>
  </si>
  <si>
    <t>Pasante/Becario</t>
  </si>
  <si>
    <t>Pasante</t>
  </si>
  <si>
    <t>Gatica</t>
  </si>
  <si>
    <t>20hs semanales, con horario a coordinar</t>
  </si>
  <si>
    <t>Vicente D’Annunzio</t>
  </si>
  <si>
    <t>$388.330,00 bruto</t>
  </si>
  <si>
    <t>00030</t>
  </si>
  <si>
    <t>VICENTE D´ANUNZIO</t>
  </si>
  <si>
    <t>4/12 se entrevistan 2 candidatos pero el referente solicita conocer mas candidatos para tomar una decision, 16/12 se conoce un candidato, 18/12 se conoce otro candidato. 22/12 se envia a preoc un candidato</t>
  </si>
  <si>
    <t>00031</t>
  </si>
  <si>
    <t>Admisión</t>
  </si>
  <si>
    <t>Consultorios Externos</t>
  </si>
  <si>
    <t>ADMISIONISTA</t>
  </si>
  <si>
    <t>Gomez</t>
  </si>
  <si>
    <t>5° admin PB Laboratorio</t>
  </si>
  <si>
    <t>Lunes a Viernes 8 a 16 hs. Sabado por medio 7 a 15 hs</t>
  </si>
  <si>
    <t>VALENTINA RAMIREZ</t>
  </si>
  <si>
    <t>$1.164.203,77 bruto /        $976.802,50 neto</t>
  </si>
  <si>
    <t>05-12 Perfil entrevista ok 08-12 se baja del proceso. 11-12 entrevista. Sin exp real en labo. 17-12 1 perfil ok pero vive en Tigre. Evaluando otras opciones</t>
  </si>
  <si>
    <t>00032</t>
  </si>
  <si>
    <t>PEON</t>
  </si>
  <si>
    <t>Cordoba</t>
  </si>
  <si>
    <t>Vacaciones</t>
  </si>
  <si>
    <t>ROTATIVO entre 6-14 hs/14-22 hs/22-6 hs segun cronograma</t>
  </si>
  <si>
    <t>MAXIMILIANO GUTIERREZ
NICOLAS MEDINA        
LIHUEL RODRIGUEZ</t>
  </si>
  <si>
    <t>$1.000.254,62 bruto / $830.085,50 neto</t>
  </si>
  <si>
    <t>12/12 6 perfiles citados, asisten 4 y 2 pasan a preo 17/12 asiste uno solo - Entrevista 22/12 // 1 PERFIL APTO 30-12</t>
  </si>
  <si>
    <t>00033</t>
  </si>
  <si>
    <t>Healthnes</t>
  </si>
  <si>
    <t>Gestión del Cambio</t>
  </si>
  <si>
    <t>Analista de Procesos</t>
  </si>
  <si>
    <t>Rodríguez M</t>
  </si>
  <si>
    <t>L a V 09h a 18h</t>
  </si>
  <si>
    <t>Romina Cecchin</t>
  </si>
  <si>
    <t>2.500.000 $ NETOS</t>
  </si>
  <si>
    <t>jueves 11/12 María se reune con Emilio para definir quien avanza, 18/12 Hace psico Romina | 12/01 - 1  candidata en preocupacional, fecha de ingreso (probable) - semana 18/01</t>
  </si>
  <si>
    <t>00034</t>
  </si>
  <si>
    <t>FARMACIA</t>
  </si>
  <si>
    <t>NOBEL</t>
  </si>
  <si>
    <t>Farmacia Lamaité</t>
  </si>
  <si>
    <t>Supervisor/a de Farmacia</t>
  </si>
  <si>
    <t>Emilio</t>
  </si>
  <si>
    <t>Iván Lara</t>
  </si>
  <si>
    <t>48 hs semanales de Lunes a Sabado</t>
  </si>
  <si>
    <t>LAMAITE</t>
  </si>
  <si>
    <t>SERGIO BERNIGAUD</t>
  </si>
  <si>
    <t>4/12 Entrevista - 5/12 entrevista - 13/12 entrevista Cecilia - 16/12 2 entrevistas - 18/12 entrevista Sergio + 1 perfil consultora conocido 19/12 - 23/12 entrevista Sergio</t>
  </si>
  <si>
    <t>00035</t>
  </si>
  <si>
    <t>Healtnes</t>
  </si>
  <si>
    <t>Contact Center</t>
  </si>
  <si>
    <t>Coordinador/a de Contac Center</t>
  </si>
  <si>
    <t>Nahir</t>
  </si>
  <si>
    <t>Agostina Zowkoski</t>
  </si>
  <si>
    <t>Lunes a Viernes de 8 a 5hs</t>
  </si>
  <si>
    <t>Maure</t>
  </si>
  <si>
    <t>Agustina Campos</t>
  </si>
  <si>
    <t>$2200000 neto</t>
  </si>
  <si>
    <t>Se envió 12-12 2 perfiles para entrevista técnica, se entrevisto 17-12 Agustina Campos, pasa a psico el 19-12, se suien evalaundo candidatos</t>
  </si>
  <si>
    <t>00036</t>
  </si>
  <si>
    <t>Enfermero/a de Quimio</t>
  </si>
  <si>
    <t xml:space="preserve">Mazars </t>
  </si>
  <si>
    <t xml:space="preserve">YAEL </t>
  </si>
  <si>
    <t>L-V 12 a 18h / Pase interno de Piñeiro Y.</t>
  </si>
  <si>
    <t>00037</t>
  </si>
  <si>
    <t>Cirugía</t>
  </si>
  <si>
    <t>Quirófano</t>
  </si>
  <si>
    <t>INSTRUMENTADOR/A</t>
  </si>
  <si>
    <t>Di Franco</t>
  </si>
  <si>
    <t>Otero R</t>
  </si>
  <si>
    <t>Lunes a Sabados 14 a 22 hs. Feriado rotativo</t>
  </si>
  <si>
    <t>AYELEN CARRUBBA</t>
  </si>
  <si>
    <t>$1.478.071,38  bruto /       $1.230.851,50 neto</t>
  </si>
  <si>
    <t>18-12 entrevistas 19-12 Entrevista Ale. Agendando preocupacional 23-12</t>
  </si>
  <si>
    <t>00038</t>
  </si>
  <si>
    <t>Coordinador/a de atracción de talento</t>
  </si>
  <si>
    <t>Daniela</t>
  </si>
  <si>
    <t>Alejandro Alzate</t>
  </si>
  <si>
    <t>La musa</t>
  </si>
  <si>
    <t>Juan Pablo Sanchez</t>
  </si>
  <si>
    <t>2800000 bruto</t>
  </si>
  <si>
    <t>00039</t>
  </si>
  <si>
    <t>Cobrador/a</t>
  </si>
  <si>
    <t>Florencia Rodriguez</t>
  </si>
  <si>
    <t>Milenka Barsallo</t>
  </si>
  <si>
    <t>Lunes a Viernes de 11 a 20hs. (Full time)</t>
  </si>
  <si>
    <t>Romina Llanos</t>
  </si>
  <si>
    <t>$1.264.540,33 bruto / $1.033.022,00 neto</t>
  </si>
  <si>
    <t>12/12 - Se conocen 3 candidatos, se avanzan con los 3 a preoc.</t>
  </si>
  <si>
    <t>00040</t>
  </si>
  <si>
    <t>Suarez C</t>
  </si>
  <si>
    <t>Lunes a Sábados 15 a 23 hs. Feriados rotativos.</t>
  </si>
  <si>
    <t>YEISON TEJADA</t>
  </si>
  <si>
    <t>$1.478.071,38  bruto        $1.230.851,50 neto</t>
  </si>
  <si>
    <t>00041</t>
  </si>
  <si>
    <t>REA, ALEX JUAN ARIEL</t>
  </si>
  <si>
    <t xml:space="preserve">Sede de Vicente Lopez (Av. Maipu 1680) </t>
  </si>
  <si>
    <t>Adrian Torosantucci</t>
  </si>
  <si>
    <t>00042</t>
  </si>
  <si>
    <t>Amarilla R</t>
  </si>
  <si>
    <t>14-22</t>
  </si>
  <si>
    <t>MARISA MARQUEZ</t>
  </si>
  <si>
    <t>$1.000.154,62  BRUTO /       $830.004,50 NETO</t>
  </si>
  <si>
    <t>17-12 entrevista 23-12 preoc // No firmó Anahi Gonzalez 6-1</t>
  </si>
  <si>
    <t>00043</t>
  </si>
  <si>
    <t>Karen G</t>
  </si>
  <si>
    <t>Lunes a Sábados 14 a 22 hs. Feriados rotativos.</t>
  </si>
  <si>
    <t>CAROLINA CAMPOS</t>
  </si>
  <si>
    <t>$1.478.071,38 bruto /         $1.230.851,50 neto</t>
  </si>
  <si>
    <t>18/12  entrevista</t>
  </si>
  <si>
    <t>00044</t>
  </si>
  <si>
    <t>ARQUITECTO/A</t>
  </si>
  <si>
    <t>Nestor Toledo</t>
  </si>
  <si>
    <t>a coordinar</t>
  </si>
  <si>
    <t>Luciana Bruno</t>
  </si>
  <si>
    <t>$3000000 bruto</t>
  </si>
  <si>
    <t>se publica ne linkedin 18-12, 30-12 se entrevistaron 2 perfiles, se pasa a Dani para 2da instancia Cecilia Ibarola y Luciana Bruno | 12/01 - pidiendo referencias. Pasa Luciana a preocupacional el 27-01</t>
  </si>
  <si>
    <t>00045</t>
  </si>
  <si>
    <t>Pistan D</t>
  </si>
  <si>
    <t>14 A 22 HS por vacaciones</t>
  </si>
  <si>
    <t>FISDERI VASQUEZ</t>
  </si>
  <si>
    <t>$1.444.204,15 bruto /        $1.205.247,26 neto</t>
  </si>
  <si>
    <t>Agendando una nueva entrevista</t>
  </si>
  <si>
    <t>00046</t>
  </si>
  <si>
    <t>Loza J</t>
  </si>
  <si>
    <t>GERALDINE CASTRO</t>
  </si>
  <si>
    <t>00047</t>
  </si>
  <si>
    <t>Mantenimiento y obras</t>
  </si>
  <si>
    <t>OFICIAL DE MANTENIMIENTO</t>
  </si>
  <si>
    <t>Erika</t>
  </si>
  <si>
    <t xml:space="preserve">ROMIG, JAVIER ALEJANDRO        </t>
  </si>
  <si>
    <t>Lunes a Sabados de 6 a 14hs</t>
  </si>
  <si>
    <t>Sergio Leguizamon</t>
  </si>
  <si>
    <t>$1.169.901,95 bruto / $966.949,00 neto</t>
  </si>
  <si>
    <t>18/12 Entrevista en conjunto con Erika, se conocen 3 candidatos, avanzan 2 a preoc.</t>
  </si>
  <si>
    <t>00048</t>
  </si>
  <si>
    <t>Braian Miguel Rojas</t>
  </si>
  <si>
    <t>18/12 Entrevista en conjunto con Erika, se conocen 3 candidatos, avanzan 2 a preoc. / inicialmente la búsqueda se genera por Gustavo Razzetto , ingresa Brian Miguel quién renuncia a los 2 días .</t>
  </si>
  <si>
    <t>00049</t>
  </si>
  <si>
    <t>Roque J</t>
  </si>
  <si>
    <t>WENDY ASTORGA</t>
  </si>
  <si>
    <t xml:space="preserve"> $1.444.204,15 bruto /	 $1.205.247,26 neto</t>
  </si>
  <si>
    <t>00050</t>
  </si>
  <si>
    <t>Segovia M</t>
  </si>
  <si>
    <t>NILDA SANTACRUZ</t>
  </si>
  <si>
    <t>$1.000.154,62  BRUTO /  $830.004,50 NETO</t>
  </si>
  <si>
    <t>17-12 entrevista 23-12 preoc</t>
  </si>
  <si>
    <t>00051</t>
  </si>
  <si>
    <t>Ledesma M</t>
  </si>
  <si>
    <t>ANA ODRIOZOLA</t>
  </si>
  <si>
    <t>00052</t>
  </si>
  <si>
    <t>Enfermero/a de Internación</t>
  </si>
  <si>
    <t>Lic prolongada Montaño K</t>
  </si>
  <si>
    <t xml:space="preserve">14 A 22 HS por cobertura licencia 129016 HERBAS BELEN                </t>
  </si>
  <si>
    <t>BRIGHIT FLORES</t>
  </si>
  <si>
    <t>$1.223.571,44 bruto /         $1.024.328,50 neto</t>
  </si>
  <si>
    <t>00053</t>
  </si>
  <si>
    <t>Desarrollos en salud</t>
  </si>
  <si>
    <t>Obras</t>
  </si>
  <si>
    <t>Albañil</t>
  </si>
  <si>
    <t>Tejedor</t>
  </si>
  <si>
    <t>162934 - Duarte Oscar</t>
  </si>
  <si>
    <t>Lunes a Viernes de 8 a 17hs</t>
  </si>
  <si>
    <t>Cristian Aguilar</t>
  </si>
  <si>
    <t xml:space="preserve"> $1.169.647,23 bruto / $979.266,50 neto</t>
  </si>
  <si>
    <t>Entrevista 29/12, se envian a preoc a 2 candidatos</t>
  </si>
  <si>
    <t>00054</t>
  </si>
  <si>
    <t>Lic prolongada HerBas B</t>
  </si>
  <si>
    <t xml:space="preserve">14 A 22 HS por cobertura licencia 130805 MONTAÑO KAREN                </t>
  </si>
  <si>
    <t>MARIANA CRISTALDO</t>
  </si>
  <si>
    <t>00055</t>
  </si>
  <si>
    <t>Vuelta Castellon Bassa a CM</t>
  </si>
  <si>
    <t>MARCOS IBARRA</t>
  </si>
  <si>
    <t>$1.554.520,85 bruto /         $1.295.707,00 neto</t>
  </si>
  <si>
    <t>CC TN</t>
  </si>
  <si>
    <t>00056</t>
  </si>
  <si>
    <t>Enfermero/a de Endoscopia</t>
  </si>
  <si>
    <t>Piñeiro Y</t>
  </si>
  <si>
    <t>Lunes a Sábados 15 a 23 hs. Feriados a coordinar.</t>
  </si>
  <si>
    <t xml:space="preserve">JUDITH CHAPOÑAN </t>
  </si>
  <si>
    <t>$1.481.645,21 bruto /        $1.235.949,00 neto</t>
  </si>
  <si>
    <t>00057</t>
  </si>
  <si>
    <t>CASTRO, SANDRA FLORENCIA</t>
  </si>
  <si>
    <t>Virginia Ivon Romero</t>
  </si>
  <si>
    <t>00058</t>
  </si>
  <si>
    <t>Juanpi</t>
  </si>
  <si>
    <t>Business Inteligence</t>
  </si>
  <si>
    <t>Analista IT</t>
  </si>
  <si>
    <t>Analista Business Analytics</t>
  </si>
  <si>
    <t>Ignacio Jaregui</t>
  </si>
  <si>
    <t xml:space="preserve">Alta </t>
  </si>
  <si>
    <t>Leandro Carbo</t>
  </si>
  <si>
    <t xml:space="preserve">Indeterminado </t>
  </si>
  <si>
    <t>Lunes a Viernes de  8 a 17hs / 9 a 18 hs</t>
  </si>
  <si>
    <t>Rafael Valera</t>
  </si>
  <si>
    <t>$2,800,000 ( Netos )</t>
  </si>
  <si>
    <t>18-12 se estan validando perfiles, se envio a Nacho 16-12 un perfil entrevistará CArbo en 2da fase 22-12, se ajusta a analista el 17-12, la candidatsa Raineth no cum'ple con el perfil técnico, se continua la busqueda. Se presentaron dos perfiles a Carbó Gianluca Mazzocchi y LAura ambos pasan a netrevista con Nacho, el luens 12 se envía resumen. Pasa a nueva fase con entrevistas validación tecnica con Paula Bria, con Raineth, Gianlucca, Adriel, Catriel 19-01. Pasa a preo Gianluca el martes 24-02.</t>
  </si>
  <si>
    <t>00059</t>
  </si>
  <si>
    <t>Monteros C</t>
  </si>
  <si>
    <t>JESICA SORIA</t>
  </si>
  <si>
    <t>$1.052.963,43  bruto /       $875.067,00 neto</t>
  </si>
  <si>
    <t>00060</t>
  </si>
  <si>
    <t>CAMILLERO/A</t>
  </si>
  <si>
    <t>Busilachi J</t>
  </si>
  <si>
    <t>ROTATIVO entre los turnos 6-14 hs, 14-22 hs, 22-6 hs según cronograma</t>
  </si>
  <si>
    <t>ALEXIS CARDOSO</t>
  </si>
  <si>
    <t>$1.079.520,88  bruto / $906.107,00 neto</t>
  </si>
  <si>
    <t>15-12 entrevista / 19-12 preo</t>
  </si>
  <si>
    <t>00061</t>
  </si>
  <si>
    <t>Paz S</t>
  </si>
  <si>
    <t>14-22 hs - 1 franco semanal a definir en el área.</t>
  </si>
  <si>
    <t xml:space="preserve">ORTEGA JOHN </t>
  </si>
  <si>
    <t>$1.195.063,16 bruto /        $1.000.952,00 neto</t>
  </si>
  <si>
    <t>16-12 entrevista / 19-12 preoc / 30-12 no apto por labo, se retoma</t>
  </si>
  <si>
    <t>00062</t>
  </si>
  <si>
    <t>Avellaneda Y</t>
  </si>
  <si>
    <t>JORGELINA FLORES</t>
  </si>
  <si>
    <t>00063</t>
  </si>
  <si>
    <t>Montero M</t>
  </si>
  <si>
    <t>Lunes a Viernes 14 a 20 hs, Sábado por medio 7 a 13 hs</t>
  </si>
  <si>
    <t>AGUSTINA GIURICH</t>
  </si>
  <si>
    <t>$801.551,37 bruto /        $662.168,00 neto</t>
  </si>
  <si>
    <t>17-12 entrevista 19-12 preoc</t>
  </si>
  <si>
    <t>00064</t>
  </si>
  <si>
    <t>Lanza Z</t>
  </si>
  <si>
    <t>ROMINA RONCORONI</t>
  </si>
  <si>
    <t>00065</t>
  </si>
  <si>
    <t>Camino C</t>
  </si>
  <si>
    <t>EDITH LLANES</t>
  </si>
  <si>
    <t>00066</t>
  </si>
  <si>
    <t>Programador Java</t>
  </si>
  <si>
    <t>David</t>
  </si>
  <si>
    <t>Mantilla R</t>
  </si>
  <si>
    <t xml:space="preserve">Linkedln </t>
  </si>
  <si>
    <t>Gian Franco Stigliano</t>
  </si>
  <si>
    <t>3253012,04 bruto</t>
  </si>
  <si>
    <t>OK</t>
  </si>
  <si>
    <t>00067</t>
  </si>
  <si>
    <t>Aguilar M</t>
  </si>
  <si>
    <t>14 A 22 HS</t>
  </si>
  <si>
    <t>JOSE ROCHA</t>
  </si>
  <si>
    <t>$1.223.571,44  bruto /       $1.024.328,50 neto</t>
  </si>
  <si>
    <t>00068</t>
  </si>
  <si>
    <t>Farmacia Nobel</t>
  </si>
  <si>
    <t>CAJERO/A</t>
  </si>
  <si>
    <t>Ivan Lara</t>
  </si>
  <si>
    <t xml:space="preserve">Melanie Cabrera </t>
  </si>
  <si>
    <t>Lunes a Viernes 16 a 22hs y Sabados de 13 a 22hs.</t>
  </si>
  <si>
    <t>Farmacia</t>
  </si>
  <si>
    <t>Roxana Sequeira</t>
  </si>
  <si>
    <t xml:space="preserve"> $1.429.794,99 bruto / $1.158.134,00 neto</t>
  </si>
  <si>
    <t>414/05</t>
  </si>
  <si>
    <t>19/12 Se conocen 2 candidatos, avanza 1 a preoc.</t>
  </si>
  <si>
    <t>00069</t>
  </si>
  <si>
    <t>Vuelta Vasquez V a CM</t>
  </si>
  <si>
    <t>6 A 14 HS</t>
  </si>
  <si>
    <t>DANNA SPIRAN</t>
  </si>
  <si>
    <t>$1.444.204,15  bruto /       $1.205.247,26 neto</t>
  </si>
  <si>
    <t>00070</t>
  </si>
  <si>
    <t>Vuelta de Placereano a CM</t>
  </si>
  <si>
    <t>JANETH VARGAS</t>
  </si>
  <si>
    <t>00071</t>
  </si>
  <si>
    <t>Menendez Ab</t>
  </si>
  <si>
    <t>6-14 HS</t>
  </si>
  <si>
    <t>NORMA ROJAS</t>
  </si>
  <si>
    <t>00072</t>
  </si>
  <si>
    <t>Monica Andrade (153820)</t>
  </si>
  <si>
    <t xml:space="preserve">Lunes a Viernes de 14h a 20hs, Sabado x medio de 9 a 13hs (Part time) </t>
  </si>
  <si>
    <t>Camila Fernandez</t>
  </si>
  <si>
    <t>$711.303,94 bruto / $564.434,00 neto</t>
  </si>
  <si>
    <t>00073</t>
  </si>
  <si>
    <t>Pase a TN Avircata V</t>
  </si>
  <si>
    <t>22 A 6 HS por eventual vacaciones</t>
  </si>
  <si>
    <t>ARIEL GUTIERREZ</t>
  </si>
  <si>
    <t>$1.333.887,91  bruto /        $1.114.788,00 neto</t>
  </si>
  <si>
    <t>00074</t>
  </si>
  <si>
    <t>MARTINEZ, JOEL SEBASTIAN</t>
  </si>
  <si>
    <t>TOROSANTUCCI, ADRIAN</t>
  </si>
  <si>
    <t>03/02/26 iba a ingresar una candidata pero se bajo el dia de la firma, se retoma proceso de busqueda</t>
  </si>
  <si>
    <t>00075</t>
  </si>
  <si>
    <t>CMM</t>
  </si>
  <si>
    <t>Atención al Paciente</t>
  </si>
  <si>
    <t>RECEPCIONISTA</t>
  </si>
  <si>
    <t>Facundo De Franco</t>
  </si>
  <si>
    <t xml:space="preserve"> Lourdes Fiori</t>
  </si>
  <si>
    <t>Lunes a Viernes de 11 a 20hs.</t>
  </si>
  <si>
    <t>Recoleta</t>
  </si>
  <si>
    <t>Yanina Juarez</t>
  </si>
  <si>
    <t>1.169.193,70 bruto / $970.618,83 neto</t>
  </si>
  <si>
    <t xml:space="preserve">23-01 - entrrevista gestor + una candidata backup en preocupacional </t>
  </si>
  <si>
    <t>00076</t>
  </si>
  <si>
    <t>1+ Vacaciones TM</t>
  </si>
  <si>
    <t>WILMA ROJAS</t>
  </si>
  <si>
    <t>$1.052.963,43 bruto /        $875.067,00 neto</t>
  </si>
  <si>
    <t>00077</t>
  </si>
  <si>
    <t>Lunes a Sábados 7 a 15 hs. Feriados rotativos.</t>
  </si>
  <si>
    <t>CATARINA RENDE</t>
  </si>
  <si>
    <t>00078</t>
  </si>
  <si>
    <t>MELANY GUTIERREZ</t>
  </si>
  <si>
    <t>23/12 entrevista RRHH + Gestor 26/12 preoc 07/01 Se baja del proceso 9/1 entrevista</t>
  </si>
  <si>
    <t>00079</t>
  </si>
  <si>
    <t>DOLORES VARGAS</t>
  </si>
  <si>
    <t xml:space="preserve">9/1 entrevista RRHH + Gestor </t>
  </si>
  <si>
    <t>00080</t>
  </si>
  <si>
    <t>L A S 15 A 23 HS. FERIADO ROTATIVO</t>
  </si>
  <si>
    <t>ALEJANDRO CANDADO</t>
  </si>
  <si>
    <t xml:space="preserve">23/12 entrevista RRHH 26/12 No asiste a entrevista con Gestor </t>
  </si>
  <si>
    <t>00081</t>
  </si>
  <si>
    <t>Vacante TM</t>
  </si>
  <si>
    <t>SANDRA DAVILA</t>
  </si>
  <si>
    <t>00082</t>
  </si>
  <si>
    <t>SERGIO MARINERO</t>
  </si>
  <si>
    <t>00083</t>
  </si>
  <si>
    <t>1+ Vacaciones CM TM</t>
  </si>
  <si>
    <t>6 A 14 HS por EVENTUAL vacaciones</t>
  </si>
  <si>
    <t>ANA CESPEDES</t>
  </si>
  <si>
    <t>00084</t>
  </si>
  <si>
    <t>1+ Vacaciones CM TN</t>
  </si>
  <si>
    <t>22 a 6 HS por EVENTUAL vacaciones</t>
  </si>
  <si>
    <t>KELLY CARRASCO</t>
  </si>
  <si>
    <t>$1.333.887,91  bruto /       $1.114.788,00 neto</t>
  </si>
  <si>
    <t>00085</t>
  </si>
  <si>
    <t>Área Cerrada</t>
  </si>
  <si>
    <t>Enfermero/a de área cerrada (UCO/UTI)</t>
  </si>
  <si>
    <t>Noelia Alvez</t>
  </si>
  <si>
    <t>Tapia M</t>
  </si>
  <si>
    <t>TM - 6 a 14 hs</t>
  </si>
  <si>
    <t>Interna</t>
  </si>
  <si>
    <t>GUSTAVO ROCHA</t>
  </si>
  <si>
    <t>Eventual. Se efectiviza el puesto</t>
  </si>
  <si>
    <t>22/2 Preo No apto por Labo - Se retoma // 27/3 no apto por epilepsia</t>
  </si>
  <si>
    <t>00086</t>
  </si>
  <si>
    <t>Tecnico/a de Hemodinamia</t>
  </si>
  <si>
    <t>Samaja</t>
  </si>
  <si>
    <t>Surraco Capdevila</t>
  </si>
  <si>
    <t>LUNES A VIERNES 17 A 22 HS. Guardias pasivas a coordinar</t>
  </si>
  <si>
    <t>LIZ MARLENE RODRIGUEZ</t>
  </si>
  <si>
    <t>$1.478.689,81  bruto /       $1.233.525,50 neto</t>
  </si>
  <si>
    <t>00087</t>
  </si>
  <si>
    <t>Pase a DICOM - Colombo</t>
  </si>
  <si>
    <t>Lunes a Viernes 14 a 20 hs. Sábado por medio 7 a 13 hs</t>
  </si>
  <si>
    <t>MARIA LAURA BLOCH</t>
  </si>
  <si>
    <t>$842.805,08 bruto /        $697.077,50 neto</t>
  </si>
  <si>
    <t>00088</t>
  </si>
  <si>
    <t>Pase a DICOM - Acuña</t>
  </si>
  <si>
    <t>LUCILA BELEN CORTES</t>
  </si>
  <si>
    <t>00089</t>
  </si>
  <si>
    <t>Gutierrez M</t>
  </si>
  <si>
    <t>22 A 6 HS. 1 franco semanal rotativo entre Sábado y Domingo.</t>
  </si>
  <si>
    <t>FACUNDO OSORIO</t>
  </si>
  <si>
    <t>$1.169.271,41  bruto /       $979.802,50 neto</t>
  </si>
  <si>
    <t>00090</t>
  </si>
  <si>
    <t>Melillan A</t>
  </si>
  <si>
    <t>GABRIEL PAIVA</t>
  </si>
  <si>
    <t>00091</t>
  </si>
  <si>
    <t>Luna E</t>
  </si>
  <si>
    <t>EVA MARIA PEREZ</t>
  </si>
  <si>
    <t>00092</t>
  </si>
  <si>
    <t>Lescano C</t>
  </si>
  <si>
    <t>ERICA GONZALEZ</t>
  </si>
  <si>
    <t>16/1 Ant penales. Se retoma</t>
  </si>
  <si>
    <t>00093</t>
  </si>
  <si>
    <t>Sainz Y</t>
  </si>
  <si>
    <t>ALDANA AGUIRRE</t>
  </si>
  <si>
    <t>00094</t>
  </si>
  <si>
    <t>Soporte Tecnico</t>
  </si>
  <si>
    <t>Marcelo Engel</t>
  </si>
  <si>
    <t>Pablo Cammi</t>
  </si>
  <si>
    <t>Lunes a Viernes de 13 a 21hs y Sábado por medio de 8 a 13hs (45hs semanales)</t>
  </si>
  <si>
    <t>Vilella</t>
  </si>
  <si>
    <t>Santiago Lloveras</t>
  </si>
  <si>
    <t>$1.504.151,39 bruto /  1.229.258,00 neto</t>
  </si>
  <si>
    <t>4 candidatos enviados a Marcelo . Marcelo va evaluar la posibilidad de mejorar la propuesta economica ya que el horario es complejo. Entrevista con candidato por parte de rrh el 27-01-26. 29-01 entrevista con Engel. Se avanza a preoc</t>
  </si>
  <si>
    <t>00095</t>
  </si>
  <si>
    <t>Molina J</t>
  </si>
  <si>
    <t>MARIA BELEN CAVALLERO</t>
  </si>
  <si>
    <t>00096</t>
  </si>
  <si>
    <t>HEALTHNES</t>
  </si>
  <si>
    <t>Operador call center</t>
  </si>
  <si>
    <t>Aste</t>
  </si>
  <si>
    <t>Muñoz M</t>
  </si>
  <si>
    <t>Lunes a Viernes 13 a 18 hs. Sábados 9 a 14 hs (25 hs)</t>
  </si>
  <si>
    <t>CONTACT CENTER</t>
  </si>
  <si>
    <t>NICOLE ALMARAZ</t>
  </si>
  <si>
    <t>$710.649,96 bruto / $567.231,00 neto</t>
  </si>
  <si>
    <t>00097</t>
  </si>
  <si>
    <t>PUPPO, MARIA ALICIA</t>
  </si>
  <si>
    <t>Aimar Thais Navas</t>
  </si>
  <si>
    <t>00098</t>
  </si>
  <si>
    <t>WARIDEL, MOIRA BELEN</t>
  </si>
  <si>
    <t>MEABE BRANDA, MARIA PAULA</t>
  </si>
  <si>
    <t>00099</t>
  </si>
  <si>
    <t>HERVAS N</t>
  </si>
  <si>
    <t>22 A 6 HS eventual vacaciones</t>
  </si>
  <si>
    <t>DAIANA LUCERO DIAZ</t>
  </si>
  <si>
    <t>$1.333.887,91 bruto /        $1.114.788,00 neto</t>
  </si>
  <si>
    <t>00100</t>
  </si>
  <si>
    <t>HEILMAN, ADOLFO DANIEL</t>
  </si>
  <si>
    <t>Bristol Cespedes</t>
  </si>
  <si>
    <t>YANES, MATIAS</t>
  </si>
  <si>
    <t>$961.576,34 bruto / $803.391,00 neto</t>
  </si>
  <si>
    <t>00101</t>
  </si>
  <si>
    <t>PONCHO HERRERA, GEMENIS YELIANNY</t>
  </si>
  <si>
    <t>CARVAJAL, PERLA</t>
  </si>
  <si>
    <t>00102</t>
  </si>
  <si>
    <t>Pertinez J</t>
  </si>
  <si>
    <t>STELLA MARIS CARABAJAL</t>
  </si>
  <si>
    <t>00103</t>
  </si>
  <si>
    <t>Mendoza A</t>
  </si>
  <si>
    <t xml:space="preserve">6 A 14 HS eventual vacaciones                </t>
  </si>
  <si>
    <t>ISABEL MAMANI</t>
  </si>
  <si>
    <t>00104</t>
  </si>
  <si>
    <t>Mazars M</t>
  </si>
  <si>
    <t>RAQUEL POMASONCCO</t>
  </si>
  <si>
    <t>00105</t>
  </si>
  <si>
    <t xml:space="preserve">Analista de Onboarding </t>
  </si>
  <si>
    <t>8 a 17hs</t>
  </si>
  <si>
    <t>Mayra Distéfano</t>
  </si>
  <si>
    <t>$1.500.000 neto</t>
  </si>
  <si>
    <t>Se netrevistaron 6 candidatos, pasan a entrevista con Sergio Mayra, Juan y Johana el 15 y 16-01, se envia a preo Mayra el 19-01</t>
  </si>
  <si>
    <t>00106</t>
  </si>
  <si>
    <t>Lavadenz D</t>
  </si>
  <si>
    <t>JOHANNA HUARACHI</t>
  </si>
  <si>
    <t>CM TT</t>
  </si>
  <si>
    <t>00107</t>
  </si>
  <si>
    <t>Aprea C</t>
  </si>
  <si>
    <t>YESICA MATURANO</t>
  </si>
  <si>
    <t>00108</t>
  </si>
  <si>
    <t>SOFIA PTASIK</t>
  </si>
  <si>
    <t>00109</t>
  </si>
  <si>
    <t>6-14 HS eventual por vacaciones</t>
  </si>
  <si>
    <t>YANINA TORREZ</t>
  </si>
  <si>
    <t>00110</t>
  </si>
  <si>
    <t>Enfermero/a de Quirófano</t>
  </si>
  <si>
    <t>Acosta F/Terrazas Branko</t>
  </si>
  <si>
    <t>Lunes a Sábados 15 a 23 hs</t>
  </si>
  <si>
    <t>LUISA SANDOVAL</t>
  </si>
  <si>
    <t>16/1 entrevista</t>
  </si>
  <si>
    <t>00111</t>
  </si>
  <si>
    <t>Gerente/a de Marketing</t>
  </si>
  <si>
    <t>Emilio Zalis</t>
  </si>
  <si>
    <t>Maria Rodriguez</t>
  </si>
  <si>
    <t xml:space="preserve">En curso </t>
  </si>
  <si>
    <t>Entrevista Atracción de Talento</t>
  </si>
  <si>
    <t>Verónica Casati</t>
  </si>
  <si>
    <t>18/11 entrevista María Rodríguez / se vuelve a alinear el perfil. hunting en linkedIn/ EL 15/12 entrevistamos 2do candidato para presentar a Emilio, 16/12 Emilió quedó en planificar entrevista con candidato, según maria. 19/12 aún no se ha dado la segunda entrevista</t>
  </si>
  <si>
    <t>00112</t>
  </si>
  <si>
    <t>CMD</t>
  </si>
  <si>
    <t>Deragopyan</t>
  </si>
  <si>
    <t>Rocio Scarcelli</t>
  </si>
  <si>
    <t>Eliana Ferola</t>
  </si>
  <si>
    <t>L a V de 09h a 15h, Sábado de 8h a 12h</t>
  </si>
  <si>
    <t xml:space="preserve">Belgrano </t>
  </si>
  <si>
    <t>Moreangelys Evia</t>
  </si>
  <si>
    <t>00113</t>
  </si>
  <si>
    <t>Líder de Datos y Negocios Digitales</t>
  </si>
  <si>
    <t>Ignacio Jauregui</t>
  </si>
  <si>
    <t>Entrevista Hiring Manager</t>
  </si>
  <si>
    <t>Cuadro reemplazo de Ignacio Jauregui</t>
  </si>
  <si>
    <t>00114</t>
  </si>
  <si>
    <t>Erika Rodriguez</t>
  </si>
  <si>
    <t>En proceso de Ingreso</t>
  </si>
  <si>
    <t xml:space="preserve">Preocupacional </t>
  </si>
  <si>
    <t>GALLARDO, JULIO RODRIGO (156867)</t>
  </si>
  <si>
    <t>Lunes a Sábados de 14 a 21hs</t>
  </si>
  <si>
    <t xml:space="preserve">Sanatorio </t>
  </si>
  <si>
    <t>$1.296.567,92 bruto / $1.083.341,50 neto</t>
  </si>
  <si>
    <t>Se envia a preoc a candidato el 18/2, se lo recita para que realice rayos</t>
  </si>
  <si>
    <t>00115</t>
  </si>
  <si>
    <t>Clínica Médica</t>
  </si>
  <si>
    <t>Clinica Medica</t>
  </si>
  <si>
    <t>Barone</t>
  </si>
  <si>
    <t>StandBy</t>
  </si>
  <si>
    <t>Goldstein G</t>
  </si>
  <si>
    <t>00116</t>
  </si>
  <si>
    <t>Performance</t>
  </si>
  <si>
    <t>Analista de performace</t>
  </si>
  <si>
    <t>Atili</t>
  </si>
  <si>
    <t xml:space="preserve">Media </t>
  </si>
  <si>
    <t xml:space="preserve">Sofia Kantorowikcs </t>
  </si>
  <si>
    <t xml:space="preserve">Computrabajo </t>
  </si>
  <si>
    <t>Jasmín Rojas Canchi</t>
  </si>
  <si>
    <t>1.500.000 netos</t>
  </si>
  <si>
    <t>00117</t>
  </si>
  <si>
    <t>INTERNACION</t>
  </si>
  <si>
    <t>Sanjines Fabiola</t>
  </si>
  <si>
    <t>JESSICA LOPEZ</t>
  </si>
  <si>
    <t>CM TM</t>
  </si>
  <si>
    <t>00118</t>
  </si>
  <si>
    <t xml:space="preserve">Ordoñez Juan Pablo </t>
  </si>
  <si>
    <t>TT - 14 a 22 hs</t>
  </si>
  <si>
    <t>VIRGINIA AYALA</t>
  </si>
  <si>
    <t>00119</t>
  </si>
  <si>
    <t>Ejecutivo Comercial</t>
  </si>
  <si>
    <t>Camila Espindola</t>
  </si>
  <si>
    <t>00120</t>
  </si>
  <si>
    <t>Lunes a Sabados de 14 a 22hs</t>
  </si>
  <si>
    <t>SABALA SANTIAGO LIONEL</t>
  </si>
  <si>
    <t>00121</t>
  </si>
  <si>
    <t>Gomez S - Vacaciones</t>
  </si>
  <si>
    <t>AUDREY PULIDO</t>
  </si>
  <si>
    <t>00122</t>
  </si>
  <si>
    <t xml:space="preserve">Montserrat Diaz </t>
  </si>
  <si>
    <t>Lunes a Viernes de 11h a 20hs, Sábado x medio de 9 a 13hs (Full Time)</t>
  </si>
  <si>
    <t>Gabriel de Jesus Villegas Hernandez</t>
  </si>
  <si>
    <t>$1.264.501,68 bruto / $1.036.340,00 neto</t>
  </si>
  <si>
    <t>00123</t>
  </si>
  <si>
    <t>Marquez Marisa</t>
  </si>
  <si>
    <t>ALICIA CANDIA</t>
  </si>
  <si>
    <t>00124</t>
  </si>
  <si>
    <t>Aguirre A</t>
  </si>
  <si>
    <t>CARMEN KLOZ</t>
  </si>
  <si>
    <t>00125</t>
  </si>
  <si>
    <t>Servicio de Alimentación</t>
  </si>
  <si>
    <t>Gutierrez Maxi - Vacaciones</t>
  </si>
  <si>
    <t>JOSE LUIS INSFRAN</t>
  </si>
  <si>
    <t>$1.053.063,43  bruto /       $875.148,00 neto</t>
  </si>
  <si>
    <t>00126</t>
  </si>
  <si>
    <t>Jerez Tatiana</t>
  </si>
  <si>
    <t>BRISA CONGO</t>
  </si>
  <si>
    <t>$1.052.963,43 bruto /         $875.067,00 neto</t>
  </si>
  <si>
    <t>00127</t>
  </si>
  <si>
    <t>Federico Carrasquera</t>
  </si>
  <si>
    <t>Roberto Gonzalez</t>
  </si>
  <si>
    <t>L/V de 8-16 / S-9-13 hs</t>
  </si>
  <si>
    <t>Ignacio Rupchich</t>
  </si>
  <si>
    <t>Bruto: 1533347,52</t>
  </si>
  <si>
    <t>Comercio 130/75</t>
  </si>
  <si>
    <t>Se entrevistaron 7 personas, pasa a preo Marcelo Garavilli el 3-02, el 5-02 el candidato se da de baja por otra mejor oferta laboral. se entrevistaron 3 personas, pasa a preo Lucas Barraza 20-02</t>
  </si>
  <si>
    <t>00128</t>
  </si>
  <si>
    <t>Ortiz L</t>
  </si>
  <si>
    <t>00129</t>
  </si>
  <si>
    <t>Baptista G</t>
  </si>
  <si>
    <t>MARIA VICTORIA PEREZ</t>
  </si>
  <si>
    <t>No se presenta a firmar la postulante</t>
  </si>
  <si>
    <t>00130</t>
  </si>
  <si>
    <t>Administrativo/a de Consultoríos Externos</t>
  </si>
  <si>
    <t>VICTORIA OCHOA</t>
  </si>
  <si>
    <t>$842.805,08  bruto /       $697.077,50 neto</t>
  </si>
  <si>
    <t>00131</t>
  </si>
  <si>
    <t>MARTINA TERRAZAS</t>
  </si>
  <si>
    <t>00132</t>
  </si>
  <si>
    <t>Hinojosa Wendy</t>
  </si>
  <si>
    <t>SHERLYN VALLE</t>
  </si>
  <si>
    <t xml:space="preserve"> $1.223.571,44 bruto /	 $1.024.328,50 neto</t>
  </si>
  <si>
    <t>00133</t>
  </si>
  <si>
    <t>Lic prolongada Mareque Andrea</t>
  </si>
  <si>
    <t>14 A 22 HS. Eventual por licencia prolongada de 159156 ANDREA MAREQUE</t>
  </si>
  <si>
    <t>MARIA BELEN RIOS</t>
  </si>
  <si>
    <t>00134</t>
  </si>
  <si>
    <t>Lic prolongada Robles Marta</t>
  </si>
  <si>
    <t>14 A 22 HS. Eventual por licencia prolongada de 120019 ROBLES MARTA</t>
  </si>
  <si>
    <t>AYELEN SANCHEZ</t>
  </si>
  <si>
    <t>00135</t>
  </si>
  <si>
    <t>Lic prolongada Haedo Evelyn</t>
  </si>
  <si>
    <t>14 A 22 HS. Eventual por licencia prolongada de 157990 HAEDO EVELYN</t>
  </si>
  <si>
    <t>FLORENCIA DOS SANTOS</t>
  </si>
  <si>
    <t>00136</t>
  </si>
  <si>
    <t>Lic prolongada Quenta Gabriela</t>
  </si>
  <si>
    <t>14 A 22 HS. Eventual por licencia prolongada de 166554 QUENTA GABRIELA</t>
  </si>
  <si>
    <t>ELIZABETH VALLEJO</t>
  </si>
  <si>
    <t>00137</t>
  </si>
  <si>
    <t>Orellana Leonor</t>
  </si>
  <si>
    <t>ROMINA SARMIENTO</t>
  </si>
  <si>
    <t>$1.052.963,43  bruto /        $875.067,00 neto</t>
  </si>
  <si>
    <t>00138</t>
  </si>
  <si>
    <t>Poss</t>
  </si>
  <si>
    <t>Villegas F</t>
  </si>
  <si>
    <t>Lunes a Viernes 8 a 16 hs. Sábado por medio 9 a 13 hs. Feriado rotativo</t>
  </si>
  <si>
    <t>JOSE EZEQUIEL GONZALEZ</t>
  </si>
  <si>
    <t xml:space="preserve"> $1.593.675,69 bruto /	 $1.327.814,00 neto</t>
  </si>
  <si>
    <t>00139</t>
  </si>
  <si>
    <t>Carta Oferta</t>
  </si>
  <si>
    <t>Chavarria Ayelen</t>
  </si>
  <si>
    <t>6 a 14 hs</t>
  </si>
  <si>
    <t>Luz Balbidares</t>
  </si>
  <si>
    <t xml:space="preserve"> $1.303.213,92 bruto /	 $1.093.671,00 neto</t>
  </si>
  <si>
    <t>00140</t>
  </si>
  <si>
    <t>Liquidación de Prestaciones</t>
  </si>
  <si>
    <t>Liquidador/a</t>
  </si>
  <si>
    <t>Valeria Ríos</t>
  </si>
  <si>
    <t>Elena Gladys Negri</t>
  </si>
  <si>
    <t>00141</t>
  </si>
  <si>
    <t>Recupero SUR</t>
  </si>
  <si>
    <t>Andres Piercamelli</t>
  </si>
  <si>
    <t>00142</t>
  </si>
  <si>
    <t>Micaela Fernandez</t>
  </si>
  <si>
    <t>00143</t>
  </si>
  <si>
    <t>Camila Orlando/ Arnes Pinto</t>
  </si>
  <si>
    <t>00144</t>
  </si>
  <si>
    <t>GALLO GEREZ, SABRINA NOELIA (1092)</t>
  </si>
  <si>
    <t xml:space="preserve"> Alejandro Arroyo </t>
  </si>
  <si>
    <t>00145</t>
  </si>
  <si>
    <t>Medios Digitales</t>
  </si>
  <si>
    <t>Ing. promt y agentes de IA</t>
  </si>
  <si>
    <t>Christian Cieri</t>
  </si>
  <si>
    <t>00146</t>
  </si>
  <si>
    <t xml:space="preserve">Analista de Producto Digital </t>
  </si>
  <si>
    <t>Melisa Garcia</t>
  </si>
  <si>
    <t>00147</t>
  </si>
  <si>
    <t>Lic prolongada Araujo Fiorella</t>
  </si>
  <si>
    <t>14 A 22 HS Eventual por licencia prolongada de 163142 ARAUJO FIORELLA</t>
  </si>
  <si>
    <t>ANABELLA SEGOVIA</t>
  </si>
  <si>
    <t>00148</t>
  </si>
  <si>
    <t>Lorena Quisbert Urias</t>
  </si>
  <si>
    <t>SERGIO MEDRANO</t>
  </si>
  <si>
    <t>00149</t>
  </si>
  <si>
    <t>Malaga Yanina</t>
  </si>
  <si>
    <t>Gina Yngargiola</t>
  </si>
  <si>
    <t>00150</t>
  </si>
  <si>
    <t>Carbajal Gabriela</t>
  </si>
  <si>
    <t>KEVIN CUIZA</t>
  </si>
  <si>
    <t>00151</t>
  </si>
  <si>
    <t>Agostina Zukowski</t>
  </si>
  <si>
    <t>Marquez M</t>
  </si>
  <si>
    <t>JUANA D'ANDREA</t>
  </si>
  <si>
    <t>00152</t>
  </si>
  <si>
    <t>Supervisor/a de Internación</t>
  </si>
  <si>
    <t>Frias Lorena</t>
  </si>
  <si>
    <t>Promoción</t>
  </si>
  <si>
    <t>Jully Aranibar</t>
  </si>
  <si>
    <t xml:space="preserve">2 perfiles internos identificados </t>
  </si>
  <si>
    <t>00153</t>
  </si>
  <si>
    <t>ROMERO, VIRGINIA IVON (169843)</t>
  </si>
  <si>
    <t xml:space="preserve"> Rodrigo González </t>
  </si>
  <si>
    <t>00154</t>
  </si>
  <si>
    <t>MARKETING</t>
  </si>
  <si>
    <t>SERVICIOS DE APOYO</t>
  </si>
  <si>
    <t>BRAND MANAGER</t>
  </si>
  <si>
    <t xml:space="preserve">Pachelo </t>
  </si>
  <si>
    <t>00155</t>
  </si>
  <si>
    <t>Atención al Público</t>
  </si>
  <si>
    <t>Sergio Bernigaud</t>
  </si>
  <si>
    <t xml:space="preserve">Lucia Toschi </t>
  </si>
  <si>
    <t>Lunes a Viernes 16 a 20hs / Domingos 9 a 21hs</t>
  </si>
  <si>
    <t>Rossana Contreras</t>
  </si>
  <si>
    <t>$1.373.058,07 bruto / $1.118.880,00 neto</t>
  </si>
  <si>
    <t>Adef - 414/05</t>
  </si>
  <si>
    <t>Empleado de mostrador. 2 candidatos en preoc</t>
  </si>
  <si>
    <t>00156</t>
  </si>
  <si>
    <t>Kloz Carmen</t>
  </si>
  <si>
    <t xml:space="preserve">14 A 22 HS </t>
  </si>
  <si>
    <t>SOLEDAD CUEVAS</t>
  </si>
  <si>
    <t xml:space="preserve"> $1.052.963,43 bruto /	 $875.067,00 neto</t>
  </si>
  <si>
    <t>00157</t>
  </si>
  <si>
    <t>Romina Barrera</t>
  </si>
  <si>
    <t xml:space="preserve"> Lu a Vie 14 a 20 hs - Sabado x medio 07 a 13 hs </t>
  </si>
  <si>
    <t>ALDANA MARECO</t>
  </si>
  <si>
    <t xml:space="preserve"> $842.805,08 bruto /	 $697.077,50 neto</t>
  </si>
  <si>
    <t>00158</t>
  </si>
  <si>
    <t>Stella Maris Carabajal</t>
  </si>
  <si>
    <t>MEGAN BURTON</t>
  </si>
  <si>
    <t>Se baja el candidato antes de la firma</t>
  </si>
  <si>
    <t>00159</t>
  </si>
  <si>
    <t>Lunes a Viernes 16 a 22hs y Sabados de 13 a 21hs</t>
  </si>
  <si>
    <t>Victoria Rocio Fagundez</t>
  </si>
  <si>
    <t>$1.634.593,04 bruto / $1.363.852,00 neto</t>
  </si>
  <si>
    <t>00160</t>
  </si>
  <si>
    <t>Blanco Beatriz</t>
  </si>
  <si>
    <t xml:space="preserve">Renuncia </t>
  </si>
  <si>
    <t>TT - 14 a 22 HS</t>
  </si>
  <si>
    <t>NILDA IBARROLA</t>
  </si>
  <si>
    <t>Eventual por licencia. Se efectiviza</t>
  </si>
  <si>
    <t xml:space="preserve"> 7/4 Se baja del proceso previo a la firma</t>
  </si>
  <si>
    <t>00161</t>
  </si>
  <si>
    <t>Zukoski</t>
  </si>
  <si>
    <t xml:space="preserve">Dana Collado </t>
  </si>
  <si>
    <t>Lunes a Viernes 14 a 19 hs. Sábado 9 a 14 hs (25 hs)</t>
  </si>
  <si>
    <t>MARIA DEL PILAR HEREDIA</t>
  </si>
  <si>
    <t>00162</t>
  </si>
  <si>
    <t>00163</t>
  </si>
  <si>
    <t>Vacante TT</t>
  </si>
  <si>
    <t>MARIA JOSE CASTILLO</t>
  </si>
  <si>
    <t>00164</t>
  </si>
  <si>
    <t>MARIANA CONTE</t>
  </si>
  <si>
    <t>00165</t>
  </si>
  <si>
    <t>Assessment Center</t>
  </si>
  <si>
    <t>TN - 22 a 6 HS</t>
  </si>
  <si>
    <t>00166</t>
  </si>
  <si>
    <t>Gutierrez Ariel</t>
  </si>
  <si>
    <t>FLORENCIA MOGRO</t>
  </si>
  <si>
    <t>00167</t>
  </si>
  <si>
    <t>Lic prolongada Sanchez Daiana</t>
  </si>
  <si>
    <t xml:space="preserve">Licencia </t>
  </si>
  <si>
    <t xml:space="preserve">Lunes a Miércoles 10-19 h. Jueves y Viernes 11-19 hs y Sábados 9-14 hs por Lic prolongada 164206 DANIELA SANCHEZ	</t>
  </si>
  <si>
    <t>ALEJANDRO RIVAROLA</t>
  </si>
  <si>
    <t xml:space="preserve"> $1.264.501,58 bruto /	 $1.032.990,00 neto</t>
  </si>
  <si>
    <t>00168</t>
  </si>
  <si>
    <t>COBENSIL</t>
  </si>
  <si>
    <t>Cinthya Uncal</t>
  </si>
  <si>
    <t>Lunes a Viernes de 14h a 20hs, Sabado x medio de 9 a 13hs (Part time)</t>
  </si>
  <si>
    <t>RAVIGNANI</t>
  </si>
  <si>
    <t>Natacha Burgardt</t>
  </si>
  <si>
    <t>Actualmente hay una candidata para ingresar</t>
  </si>
  <si>
    <t>00169</t>
  </si>
  <si>
    <t>Analista de convenios</t>
  </si>
  <si>
    <t>Alejandro Poeta</t>
  </si>
  <si>
    <t xml:space="preserve">Pedro Goicochea </t>
  </si>
  <si>
    <t>$1.700.000 netos</t>
  </si>
  <si>
    <t>12-12 analizando cv´s, 4 cnadidatos con diferencias salariales, paso a poetea 2 perfiles Delfina Musso y Valeria Santa Cruz , pasa a preo Delfina Musso el 26-12, el 23/01 indico Delfina Musso que no iba a ingresar de su trabajo le pidieron que se quedara. Se retoma el filtrado de CV´s 26-01.</t>
  </si>
  <si>
    <t>00170</t>
  </si>
  <si>
    <t>Imágenes</t>
  </si>
  <si>
    <t>Asesor al Paciente</t>
  </si>
  <si>
    <t>Nicolas Morrone</t>
  </si>
  <si>
    <t>Lunes a Viernes 12.30 a 20.30 hs. Sábados 7 a 13 hs</t>
  </si>
  <si>
    <t>YAMILA PACHECO</t>
  </si>
  <si>
    <t>00171</t>
  </si>
  <si>
    <t>Tecnico/a de Laboratorio</t>
  </si>
  <si>
    <t>Scarcelli</t>
  </si>
  <si>
    <t>Rodriguez Julieta</t>
  </si>
  <si>
    <t>00172</t>
  </si>
  <si>
    <t>Céspedes 3249</t>
  </si>
  <si>
    <t>Italo Rivera</t>
  </si>
  <si>
    <t>$1.014.583,64 bruto / $850.802,00 neto</t>
  </si>
  <si>
    <t>00173</t>
  </si>
  <si>
    <t>SANCHEZ OLIVERA, ROMINA</t>
  </si>
  <si>
    <t>Lacroze 3257</t>
  </si>
  <si>
    <t>Lautaro Alan Bazan</t>
  </si>
  <si>
    <t>$1.315.682,00 bruto /  $1.077.223,50 neto</t>
  </si>
  <si>
    <t>00174</t>
  </si>
  <si>
    <t>00175</t>
  </si>
  <si>
    <t>Av Maipu 1680</t>
  </si>
  <si>
    <t>Gustavo Enrique Perez Cañizalez</t>
  </si>
  <si>
    <t>00176</t>
  </si>
  <si>
    <t>Sabrina Gonzalez</t>
  </si>
  <si>
    <t>00177</t>
  </si>
  <si>
    <t>MENDIETA, MARTIN JULIAN</t>
  </si>
  <si>
    <t>00178</t>
  </si>
  <si>
    <t>Ferreyra, Maria Pia</t>
  </si>
  <si>
    <t>00179</t>
  </si>
  <si>
    <t>GONZALEZ, CONSTANZA ROMINA</t>
  </si>
  <si>
    <t>00180</t>
  </si>
  <si>
    <t>DESARROLLO</t>
  </si>
  <si>
    <t>Analista de datos</t>
  </si>
  <si>
    <t>Carlos Dominguez</t>
  </si>
  <si>
    <t>Felipe Herrera Duran</t>
  </si>
  <si>
    <t>$1.800.000 netos</t>
  </si>
  <si>
    <t>00181</t>
  </si>
  <si>
    <t>Administrativo/a de atención al paciente</t>
  </si>
  <si>
    <t>Jessica Sanchez</t>
  </si>
  <si>
    <t xml:space="preserve">L a V - 13 a 21 hs / S por medio de 8 a 14 ( es la única persona en este horario ) </t>
  </si>
  <si>
    <t>Juliana Paint / Octavio Cuenca</t>
  </si>
  <si>
    <t xml:space="preserve"> $1.269.476,21</t>
  </si>
  <si>
    <t>Se cerro con un pase interno</t>
  </si>
  <si>
    <t>00182</t>
  </si>
  <si>
    <t>Supervisor/a de Hotelería</t>
  </si>
  <si>
    <t>Abaca E</t>
  </si>
  <si>
    <t xml:space="preserve"> 6 a 14 hs</t>
  </si>
  <si>
    <t xml:space="preserve"> $1.513.275,78 bruto /	 $1.261.886,00 neto</t>
  </si>
  <si>
    <t>Gladys Servin apto en preocupacional. Vale Dodero decide no avanzar por su psicotécnico</t>
  </si>
  <si>
    <t>00183</t>
  </si>
  <si>
    <t>Referente Administrativo de Atención al Publico</t>
  </si>
  <si>
    <t>Juan Manuel Guzman</t>
  </si>
  <si>
    <t>L a V de 13hs a 21hs / S por medio de 08 a 14hs</t>
  </si>
  <si>
    <t>Yanina de la Rosa</t>
  </si>
  <si>
    <t>$ 1,742,902,82 bruto - $1,418,103 Netos</t>
  </si>
  <si>
    <t>Referente</t>
  </si>
  <si>
    <t>00184</t>
  </si>
  <si>
    <t>Rechazada</t>
  </si>
  <si>
    <t>EXPERIENCIA DE CLIENTES</t>
  </si>
  <si>
    <t>Analista de CX</t>
  </si>
  <si>
    <t>Veronica Casati</t>
  </si>
  <si>
    <t>00185</t>
  </si>
  <si>
    <t>Coordinador/a de Sucursales</t>
  </si>
  <si>
    <t>Leandro Lopez</t>
  </si>
  <si>
    <t>00186</t>
  </si>
  <si>
    <t>Oriana Romero</t>
  </si>
  <si>
    <t>Lunes a Sábados 9 a 14 (25 hs)</t>
  </si>
  <si>
    <t>VANESSA RUIZ</t>
  </si>
  <si>
    <t>00187</t>
  </si>
  <si>
    <t>Vera Rose (Camila Beraldi)</t>
  </si>
  <si>
    <t xml:space="preserve">Lunes a Viernes 14 a 19 hs. Sábados 9 a 14 hs (25 hs) </t>
  </si>
  <si>
    <t>Oriana Taylor</t>
  </si>
  <si>
    <t xml:space="preserve"> $710.649,96 bruto /	 $567.231,00 neto</t>
  </si>
  <si>
    <t>00188</t>
  </si>
  <si>
    <t>Melisa Aponte</t>
  </si>
  <si>
    <t>PAULA MENDEZ</t>
  </si>
  <si>
    <t>00189</t>
  </si>
  <si>
    <t xml:space="preserve">Confidencial </t>
  </si>
  <si>
    <t>00190</t>
  </si>
  <si>
    <t>Ruiz Palma Elvira</t>
  </si>
  <si>
    <t>HELEN QUENTA</t>
  </si>
  <si>
    <t>00191</t>
  </si>
  <si>
    <t>Ana Cespedes</t>
  </si>
  <si>
    <t>Sobre cápita</t>
  </si>
  <si>
    <t>CM TM / Sobre Cápita</t>
  </si>
  <si>
    <t>00192</t>
  </si>
  <si>
    <t>Compras</t>
  </si>
  <si>
    <t>Gerente/a de Compras</t>
  </si>
  <si>
    <t>Se abre nuevamente la búsqueda. El proceso anterior inicio en 10/2025. Con esta nueva apertura se busca un perfil con foco en compras pero con potencial para tomar áreas de administración y operación</t>
  </si>
  <si>
    <t>00193</t>
  </si>
  <si>
    <t>Jhaneth Choque</t>
  </si>
  <si>
    <t>CHUGAR CASTRO JUAN OMAR</t>
  </si>
  <si>
    <t>00194</t>
  </si>
  <si>
    <t>Valeria Rojas</t>
  </si>
  <si>
    <t>Lunes a Viernes 15 a 20 hs. Sábados 9 a 14 hs (25 hs)</t>
  </si>
  <si>
    <t>Luz Gassman</t>
  </si>
  <si>
    <t>00195</t>
  </si>
  <si>
    <t>Ayelen Sanchez</t>
  </si>
  <si>
    <t>CRISTINA BRAVO</t>
  </si>
  <si>
    <t>00196</t>
  </si>
  <si>
    <t>Ingreso</t>
  </si>
  <si>
    <t>Daiana Bordas</t>
  </si>
  <si>
    <t>14:00 a 22:00 de lunes a sabados</t>
  </si>
  <si>
    <t>VIOLETA CHINSKI</t>
  </si>
  <si>
    <t xml:space="preserve"> $1.520.037,13 bruto /	 $1.032.783,00 neto</t>
  </si>
  <si>
    <t>00197</t>
  </si>
  <si>
    <t>Administrativa/o de Laboratorio</t>
  </si>
  <si>
    <t>Sofia de la Peña</t>
  </si>
  <si>
    <t xml:space="preserve">Lu a Vie 08 a 16 hs - Sabado x medio 07 a 15 hs </t>
  </si>
  <si>
    <t>STEFANIA AGÜEROS</t>
  </si>
  <si>
    <t xml:space="preserve"> $1.164.203,77 bruto /	 $976.802,50 neto</t>
  </si>
  <si>
    <t>00198</t>
  </si>
  <si>
    <t>Cristian Flores</t>
  </si>
  <si>
    <t>CARLOS QUINTEROS</t>
  </si>
  <si>
    <t>" $1.444.204,15 bruto /	 $1.205.247,26 neto"</t>
  </si>
  <si>
    <t>00199</t>
  </si>
  <si>
    <t>PEREDA, VANESSA RITA</t>
  </si>
  <si>
    <t>00200</t>
  </si>
  <si>
    <t>Contreras, Paula</t>
  </si>
  <si>
    <t>00201</t>
  </si>
  <si>
    <t>Miranda, Daira</t>
  </si>
  <si>
    <t>00202</t>
  </si>
  <si>
    <t>ROJAS VIDABLE, ROMINA LORENA</t>
  </si>
  <si>
    <t>00203</t>
  </si>
  <si>
    <t>DREE, JOEL IGNACIO</t>
  </si>
  <si>
    <t>00204</t>
  </si>
  <si>
    <t>GONZALEZ, RODRIGO CRISTIAN EMMANUEL</t>
  </si>
  <si>
    <t>00205</t>
  </si>
  <si>
    <t>OPERACIONES</t>
  </si>
  <si>
    <t>Lorena Gramajo</t>
  </si>
  <si>
    <t>L a V de 09hs a 17hs o 13hs a 21hs / S por medio de 07 a 15hs</t>
  </si>
  <si>
    <t>Raul Croes</t>
  </si>
  <si>
    <t>00206</t>
  </si>
  <si>
    <t>COMPRAS</t>
  </si>
  <si>
    <t>Administrativo/a de compras</t>
  </si>
  <si>
    <t>Fernando Gini</t>
  </si>
  <si>
    <t>Solange Calle</t>
  </si>
  <si>
    <t xml:space="preserve">Aumento de trabajo </t>
  </si>
  <si>
    <t>00207</t>
  </si>
  <si>
    <t>Hemoterapia</t>
  </si>
  <si>
    <t>Tecnico/a de Hemoterapia</t>
  </si>
  <si>
    <t>Gonzalez</t>
  </si>
  <si>
    <t>Lic SANCHEZ, ROSA ESTER</t>
  </si>
  <si>
    <t>L a V de 14 a 21h, Sábado de 8 a 12h</t>
  </si>
  <si>
    <t>Referidos</t>
  </si>
  <si>
    <t>Fátima Belén Bisetti</t>
  </si>
  <si>
    <t>$ 1.582.090,14 bruto - $1.307.919,50 neto</t>
  </si>
  <si>
    <t>Sanidad 122/75</t>
  </si>
  <si>
    <t>Hemoterapia / Eventual por lic prolongada</t>
  </si>
  <si>
    <t>00208</t>
  </si>
  <si>
    <t>Desarrollos en Salud SA</t>
  </si>
  <si>
    <t>BIOINGENIERIA</t>
  </si>
  <si>
    <t>Bioingenieria</t>
  </si>
  <si>
    <t>Tecnico/a de Bioingeniería</t>
  </si>
  <si>
    <t>Javier Luder</t>
  </si>
  <si>
    <t>Ignacio Boris Ahumada</t>
  </si>
  <si>
    <t>00209</t>
  </si>
  <si>
    <t>CIRUGIA</t>
  </si>
  <si>
    <t>Liz Marlene Rodriguez</t>
  </si>
  <si>
    <t>00210</t>
  </si>
  <si>
    <t>Jefe/a de Padron y Aportes</t>
  </si>
  <si>
    <t>Reorganización del área</t>
  </si>
  <si>
    <t>Amenabar</t>
  </si>
  <si>
    <t>00211</t>
  </si>
  <si>
    <t>Servicios de Administración</t>
  </si>
  <si>
    <t>Nacho Jauregui</t>
  </si>
  <si>
    <t>N/A</t>
  </si>
  <si>
    <t xml:space="preserve">Veronica Casati </t>
  </si>
  <si>
    <t>00212</t>
  </si>
  <si>
    <t>GESTION DE PERSONAS</t>
  </si>
  <si>
    <t>ADMINISTRACION Y FINANZAS</t>
  </si>
  <si>
    <t>Analista de Procesos de RRHH</t>
  </si>
  <si>
    <t>Daniela Librizzi</t>
  </si>
  <si>
    <t xml:space="preserve">Eduardo </t>
  </si>
  <si>
    <t>00213</t>
  </si>
  <si>
    <t>Sofia Ptasik</t>
  </si>
  <si>
    <t>Vanesa Baez</t>
  </si>
  <si>
    <t xml:space="preserve"> $1.732.557,22 bruto /	 $1.445.732,50 neto</t>
  </si>
  <si>
    <t>00214</t>
  </si>
  <si>
    <t>Camila Smidt</t>
  </si>
  <si>
    <t>00215</t>
  </si>
  <si>
    <t>Vitte Lorena</t>
  </si>
  <si>
    <t>ROMINA SUAREZ</t>
  </si>
  <si>
    <t>Eventual por licencia</t>
  </si>
  <si>
    <t>CM TM - Licencia x maternidad</t>
  </si>
  <si>
    <t>00216</t>
  </si>
  <si>
    <t>ALVAREZ GRASSI, NICOLE CARLA (Beatrice Perdomo)</t>
  </si>
  <si>
    <t>full time, de Lunes, Martes y Miércoles de 8 a 18 y Jueves y Viernes de 9 a 18.</t>
  </si>
  <si>
    <t>Sofía González Larreal</t>
  </si>
  <si>
    <t>00217</t>
  </si>
  <si>
    <t>Maria Belen Rios</t>
  </si>
  <si>
    <t>Lorena Garcia</t>
  </si>
  <si>
    <t xml:space="preserve"> $1.123.895,63 bruto /	 $946.630,00 neto</t>
  </si>
  <si>
    <t>00218</t>
  </si>
  <si>
    <t>Nancy Arias</t>
  </si>
  <si>
    <t>Lunes a Viernes 9 a 18 hs por Licencia Prol 340 Nancy Arias</t>
  </si>
  <si>
    <t>Luna Celeste Lentini</t>
  </si>
  <si>
    <t>Le dio mal el preoc a Martina Cruz, se retoma la busqueda</t>
  </si>
  <si>
    <t>00219</t>
  </si>
  <si>
    <t>Healthnes SA</t>
  </si>
  <si>
    <t>MARCOS ORTIZ OSCAR</t>
  </si>
  <si>
    <t xml:space="preserve"> lunes a jueves de 11:00 a 20:00 viernes de 12:00 a 20:00 y sábados de 8:00 a 12:00</t>
  </si>
  <si>
    <t>Francisco Olivera</t>
  </si>
  <si>
    <t>00220</t>
  </si>
  <si>
    <t>Juana D'andrea</t>
  </si>
  <si>
    <t>Lunes a Viernes 12 a 17 hs, Sábados 9 a 14 hs (25 hs)</t>
  </si>
  <si>
    <t>Santiago Rivera</t>
  </si>
  <si>
    <t>" $710.649,96 bruto /	 $567.231,00 neto"</t>
  </si>
  <si>
    <t>00221</t>
  </si>
  <si>
    <t>Fiorella Larregina</t>
  </si>
  <si>
    <t>Lunes a Sábados 9 a 14 hs (25 hs)</t>
  </si>
  <si>
    <t>Sonia Escasena</t>
  </si>
  <si>
    <t>00222</t>
  </si>
  <si>
    <t>ADMISION</t>
  </si>
  <si>
    <t>CONSULTORIOS EXTERNOS</t>
  </si>
  <si>
    <t>GOITIA PEREZ, DARIANA NAZARET</t>
  </si>
  <si>
    <t xml:space="preserve">Lu a Vie 14 a 20 hs - Sabado x medio 07 a 13 hs </t>
  </si>
  <si>
    <t>CAREN AZAME</t>
  </si>
  <si>
    <t>00223</t>
  </si>
  <si>
    <t>MORANT ARTEAGA JUAN CARLOS</t>
  </si>
  <si>
    <t>TN - 22 a 06</t>
  </si>
  <si>
    <t>00224</t>
  </si>
  <si>
    <t xml:space="preserve">HERRERA ERIKA YANINA </t>
  </si>
  <si>
    <t>00225</t>
  </si>
  <si>
    <t>HOTELERIA</t>
  </si>
  <si>
    <t>MELILLAN AITOR ALEXIS</t>
  </si>
  <si>
    <t>22 a 6 hs</t>
  </si>
  <si>
    <t>Lihuel Rodriguez</t>
  </si>
  <si>
    <t>00226</t>
  </si>
  <si>
    <t>GALEANO HERRERO LIZ PAOLA</t>
  </si>
  <si>
    <t>00227</t>
  </si>
  <si>
    <t>LEGALES</t>
  </si>
  <si>
    <t>Abogado/a comercial societario</t>
  </si>
  <si>
    <t xml:space="preserve">Eduardo Zalis </t>
  </si>
  <si>
    <t>Maria Soledad Tognozzi</t>
  </si>
  <si>
    <t>La Musa - Piso 9</t>
  </si>
  <si>
    <t>00228</t>
  </si>
  <si>
    <t>TERAPISTAS INTENSIVOS</t>
  </si>
  <si>
    <t>TERAPIA INTENSIVA</t>
  </si>
  <si>
    <t>Salcedo</t>
  </si>
  <si>
    <t>RODRIGUEZ CASSO, RODOLFO HERNAN</t>
  </si>
  <si>
    <t>Miércoles 8 a 20 hs + Viernes 20 a 8 hs</t>
  </si>
  <si>
    <t>Evelyn Gladys Ergueta</t>
  </si>
  <si>
    <t xml:space="preserve"> $ 2.555.900 bruto / $ 2.082.000 neto</t>
  </si>
  <si>
    <t>00229</t>
  </si>
  <si>
    <t>WALL, DEBORAH</t>
  </si>
  <si>
    <t>00230</t>
  </si>
  <si>
    <t>CONVENIOS Y CONTRATACIONES</t>
  </si>
  <si>
    <t>Analista de Contrataciones</t>
  </si>
  <si>
    <t>LEONETTI, LAURA LORENA</t>
  </si>
  <si>
    <t>Gladys</t>
  </si>
  <si>
    <t>00231</t>
  </si>
  <si>
    <t>00232</t>
  </si>
  <si>
    <t>astrada silvina</t>
  </si>
  <si>
    <t>Lu a Vie 14 a 20 hs - Sabado x medio 07 a 13 hs</t>
  </si>
  <si>
    <t>BARBARA CRETA</t>
  </si>
  <si>
    <t>00233</t>
  </si>
  <si>
    <t>Erika Acuña renuncia viernes 27/3</t>
  </si>
  <si>
    <t>No renuncio</t>
  </si>
  <si>
    <t>00234</t>
  </si>
  <si>
    <t>Roncoroni Romina</t>
  </si>
  <si>
    <t>Lun a Vie 6 a 14 hs + Sábados 7 a 13 hs</t>
  </si>
  <si>
    <t>IARA ACUÑA</t>
  </si>
  <si>
    <t>$1.164.203,77 bruto /$976.802,50 neto</t>
  </si>
  <si>
    <t>00235</t>
  </si>
  <si>
    <t>Colombo Lucas</t>
  </si>
  <si>
    <t>Barbara Creta</t>
  </si>
  <si>
    <t>00236</t>
  </si>
  <si>
    <t>Benitez Carolina</t>
  </si>
  <si>
    <t>Agueros Capri Stefani</t>
  </si>
  <si>
    <t>00237</t>
  </si>
  <si>
    <t>Morrone Nicolas</t>
  </si>
  <si>
    <t>Acuña Iara</t>
  </si>
  <si>
    <t>Se cancela vacante , error de apertura. Vacante cubierta por Yamila Pacheco</t>
  </si>
  <si>
    <t>00238</t>
  </si>
  <si>
    <t>22/07/2026 ( fin de pp)</t>
  </si>
  <si>
    <t>Posible Baja: Lucila Cortez</t>
  </si>
  <si>
    <t>00239</t>
  </si>
  <si>
    <t>Leiva Matias</t>
  </si>
  <si>
    <t>00240</t>
  </si>
  <si>
    <t>Lorena Vilte</t>
  </si>
  <si>
    <t>6 a 14 hs como eventual por licencia prolongada 156461 Lorena Vilte</t>
  </si>
  <si>
    <t>00241</t>
  </si>
  <si>
    <t>PADILLA CHAMBI, JHOSELIN SOLEDAD</t>
  </si>
  <si>
    <t>Movimiento interno</t>
  </si>
  <si>
    <t>NADIA CABANA</t>
  </si>
  <si>
    <t>00242</t>
  </si>
  <si>
    <t>Lima Pedro</t>
  </si>
  <si>
    <t>Lunes a Viernes 8 a 14 hs</t>
  </si>
  <si>
    <t>Diego Gabela</t>
  </si>
  <si>
    <t xml:space="preserve"> $2.667.475,65 bruto /	 $2.173.992,66 neto</t>
  </si>
  <si>
    <t>00243</t>
  </si>
  <si>
    <t>Técnico de prácticas Cardiológicas</t>
  </si>
  <si>
    <t>Claudia Alí</t>
  </si>
  <si>
    <t>Alejandro Aguinaga</t>
  </si>
  <si>
    <t>L a S – Jornada laboral de 8 horas con horario rotativo
y flexible acorde a la programación de agendas</t>
  </si>
  <si>
    <t>00244</t>
  </si>
  <si>
    <t>Referente de Instrumentación</t>
  </si>
  <si>
    <t>Jornada flexible acorde a la actividad</t>
  </si>
  <si>
    <t>00245</t>
  </si>
  <si>
    <t>00246</t>
  </si>
  <si>
    <t>00247</t>
  </si>
  <si>
    <t>00248</t>
  </si>
  <si>
    <t>00249</t>
  </si>
  <si>
    <t xml:space="preserve">Nancy Prieto </t>
  </si>
  <si>
    <t>00250</t>
  </si>
  <si>
    <t xml:space="preserve">Audrey Pulido </t>
  </si>
  <si>
    <t>00251</t>
  </si>
  <si>
    <t xml:space="preserve">Preselección/Screening </t>
  </si>
  <si>
    <t>00252</t>
  </si>
  <si>
    <t>00253</t>
  </si>
  <si>
    <t>ENFERMERO/A</t>
  </si>
  <si>
    <t>Adriana Abigail Tinte</t>
  </si>
  <si>
    <t>L a V de 07hs a 15hs / S por medio de
07 a 15hs</t>
  </si>
  <si>
    <t>Fin de Periodo de prueba</t>
  </si>
  <si>
    <t>00254</t>
  </si>
  <si>
    <t>Rosa Soledad Mamani</t>
  </si>
  <si>
    <t>L a V de 13hs a 21hs / S por medio de 07 a 15hs</t>
  </si>
  <si>
    <t>00255</t>
  </si>
  <si>
    <t>Ignacio Rupcich</t>
  </si>
  <si>
    <t>L a V de 08hs a 16hs / S de 08 a 13hs</t>
  </si>
  <si>
    <t>Daniel Belmontes</t>
  </si>
  <si>
    <t>$1.581.099,38 bruto /  $1.290.884,50 neto</t>
  </si>
  <si>
    <t>00256</t>
  </si>
  <si>
    <t>$1.190.191,57 bruto / $996.957,00 neto</t>
  </si>
  <si>
    <t>Contabamos con un candidato para ingresar el dia 20/4/26 (Diego Veron) pero dejo de responder a la cita</t>
  </si>
  <si>
    <t>00257</t>
  </si>
  <si>
    <t>00258</t>
  </si>
  <si>
    <t>Aldana Mareco</t>
  </si>
  <si>
    <t>Lunes a Viernes 14 a 20 hs. Sábado por medio 7 a 13 hs.</t>
  </si>
  <si>
    <t>Maria Ines Aquino</t>
  </si>
  <si>
    <t>$896.354,91 bruto /  $743.214,00 neto</t>
  </si>
  <si>
    <t>00259</t>
  </si>
  <si>
    <t>Victoria Sánchez Ochoa</t>
  </si>
  <si>
    <t>00260</t>
  </si>
  <si>
    <t>Ivan Flores</t>
  </si>
  <si>
    <t>TM - 6 A 14 HS</t>
  </si>
  <si>
    <t>KARINA LEDESMA</t>
  </si>
  <si>
    <t>Pase a Enfermería</t>
  </si>
  <si>
    <t>00261</t>
  </si>
  <si>
    <t>Leticia Díaz</t>
  </si>
  <si>
    <t>LISSETT FUENTES</t>
  </si>
  <si>
    <t>00262</t>
  </si>
  <si>
    <t>Mayra Insaurralde</t>
  </si>
  <si>
    <t>FANNY QUINTEROS</t>
  </si>
  <si>
    <t>Renuncia 06/03</t>
  </si>
  <si>
    <t>00263</t>
  </si>
  <si>
    <t>Wilma Rojas</t>
  </si>
  <si>
    <t>Vacaciones TM</t>
  </si>
  <si>
    <t xml:space="preserve">Renuncia 18/03 </t>
  </si>
  <si>
    <t>00264</t>
  </si>
  <si>
    <t>KINESIOLOGIA</t>
  </si>
  <si>
    <t>Laredo Rodrigo</t>
  </si>
  <si>
    <t>Camio Micaela</t>
  </si>
  <si>
    <t>14 a 20 / s/d 8 a 20</t>
  </si>
  <si>
    <t>00265</t>
  </si>
  <si>
    <t>CLINICA MEDICA</t>
  </si>
  <si>
    <t>COORDINADOR/A</t>
  </si>
  <si>
    <t>Relevamiento de Perfil</t>
  </si>
  <si>
    <t>00266</t>
  </si>
  <si>
    <t>LABORATORIO</t>
  </si>
  <si>
    <t>TECNICO/A</t>
  </si>
  <si>
    <t>Violeta Chinski</t>
  </si>
  <si>
    <t>Lunes a Sábados 14 a 22 hs</t>
  </si>
  <si>
    <t>MAIA ZANE</t>
  </si>
  <si>
    <t xml:space="preserve"> $1.615.215,71 bruto /	 $1.098.029,50 neto</t>
  </si>
  <si>
    <t>00267</t>
  </si>
  <si>
    <t>Sandra Davila</t>
  </si>
  <si>
    <t>00268</t>
  </si>
  <si>
    <t>Valeria Rios</t>
  </si>
  <si>
    <t>NEGRI, ELENA GLADYS</t>
  </si>
  <si>
    <t>Jubilación</t>
  </si>
  <si>
    <t>9 a 18 hs lunes a Viernes</t>
  </si>
  <si>
    <t>Sede Amenabar</t>
  </si>
  <si>
    <t>00269</t>
  </si>
  <si>
    <t>Pagos</t>
  </si>
  <si>
    <t>ADMINISTRATIVO/A</t>
  </si>
  <si>
    <t>Carla Fado</t>
  </si>
  <si>
    <t>Analia Olmeda</t>
  </si>
  <si>
    <t>Búsqueda Interna</t>
  </si>
  <si>
    <t xml:space="preserve">Tirado Laurente, Florencia </t>
  </si>
  <si>
    <t>00270</t>
  </si>
  <si>
    <t xml:space="preserve">	QUISPE JAUREGUI, LUIS</t>
  </si>
  <si>
    <t>14 a 22 hs</t>
  </si>
  <si>
    <t>ROCIO LANZALOT</t>
  </si>
  <si>
    <t>00271</t>
  </si>
  <si>
    <t>GUTCOVSKY, JULIETA</t>
  </si>
  <si>
    <t>00272</t>
  </si>
  <si>
    <t>YAÑES BOGNI, MATIAS VALENTIN</t>
  </si>
  <si>
    <t>00273</t>
  </si>
  <si>
    <t>MENESES MARIN, TANIUSKA ROGERLYS</t>
  </si>
  <si>
    <t>00274</t>
  </si>
  <si>
    <t>CORREA, CAMILA MARIEL</t>
  </si>
  <si>
    <t>00275</t>
  </si>
  <si>
    <t>PONCE, MATHEO NICOLAS</t>
  </si>
  <si>
    <t>00276</t>
  </si>
  <si>
    <t>MAMANI ALAN FRANCO</t>
  </si>
  <si>
    <t>BENJAMIN VALENCIA</t>
  </si>
  <si>
    <t>00277</t>
  </si>
  <si>
    <t>Fisderi Vasquez</t>
  </si>
  <si>
    <t>00278</t>
  </si>
  <si>
    <t>Riera Paredes Cristian</t>
  </si>
  <si>
    <t>Domingos 8 a 20 hs</t>
  </si>
  <si>
    <t xml:space="preserve">PRISCILA SANCHEZ </t>
  </si>
  <si>
    <t xml:space="preserve"> $1.288.893,47 bruto /	 $1.050.448,18 neto</t>
  </si>
  <si>
    <t>00279</t>
  </si>
  <si>
    <t xml:space="preserve">ARANIBAR JULLY </t>
  </si>
  <si>
    <t>LUIS BARRIOS</t>
  </si>
  <si>
    <t>00280</t>
  </si>
  <si>
    <t xml:space="preserve"> CARRASCO ALAN AXEL GABRIEL</t>
  </si>
  <si>
    <t>00281</t>
  </si>
  <si>
    <t>BORDON FRANCO</t>
  </si>
  <si>
    <t>00282</t>
  </si>
  <si>
    <t>MAMANI MARIA ROSA</t>
  </si>
  <si>
    <t>14 a 22 HS</t>
  </si>
  <si>
    <t>Evelyn Condori</t>
  </si>
  <si>
    <t>00283</t>
  </si>
  <si>
    <t>Florencia Tirado Laurente</t>
  </si>
  <si>
    <t>lunes a jueves de 8 a 18 y viernes de 10 a 18hs</t>
  </si>
  <si>
    <t>Selene Acuña</t>
  </si>
  <si>
    <t xml:space="preserve">$ 1.265.500 bruto / $ 1.032.000 neto </t>
  </si>
  <si>
    <t>00284</t>
  </si>
  <si>
    <t>Para completar dotación</t>
  </si>
  <si>
    <t>00285</t>
  </si>
  <si>
    <t>VENTAS CORPORATIVAS</t>
  </si>
  <si>
    <t>Juan Francisco Mandingorra</t>
  </si>
  <si>
    <t>MARIA LUJAN BARRIENTOS</t>
  </si>
  <si>
    <t>10 a 18 hs</t>
  </si>
  <si>
    <t>Perón 1479 CABA</t>
  </si>
  <si>
    <t>00286</t>
  </si>
  <si>
    <t>KARINA SAYAL</t>
  </si>
  <si>
    <t>00287</t>
  </si>
  <si>
    <t>CARVAJAL PERALTA, PERLA LILIBETH</t>
  </si>
  <si>
    <t>00288</t>
  </si>
  <si>
    <t>ARROYO, ALEJANDRO LEONARDO</t>
  </si>
  <si>
    <t>00289</t>
  </si>
  <si>
    <t>00290</t>
  </si>
  <si>
    <t>SOPORTE TECNICO</t>
  </si>
  <si>
    <t>Sebastian Gatica</t>
  </si>
  <si>
    <t>PAUL ALEXANDER MOSS</t>
  </si>
  <si>
    <t>Luneas a Viernes de 8 a 17 hs</t>
  </si>
  <si>
    <t>00291</t>
  </si>
  <si>
    <t>DIRECTOR/A TECNICO/A DE FARMACIA</t>
  </si>
  <si>
    <t>Publicación/Analizando CVs</t>
  </si>
  <si>
    <t xml:space="preserve">Nuevo proyecto </t>
  </si>
  <si>
    <t>00292</t>
  </si>
  <si>
    <t>Farmacia Nobel SA</t>
  </si>
  <si>
    <t>ADMINISTRACION</t>
  </si>
  <si>
    <t xml:space="preserve">Lunes a Viernes de 9 a 18 hs </t>
  </si>
  <si>
    <t>00293</t>
  </si>
  <si>
    <t>PADILLA GUILLOTH, MARIA JOSE</t>
  </si>
  <si>
    <t>LUNES 8 A 8 HS</t>
  </si>
  <si>
    <t>Agustin Aller</t>
  </si>
  <si>
    <t xml:space="preserve"> $ 2.555.900 bruto / $ 2.083.000 neto</t>
  </si>
  <si>
    <t>00294</t>
  </si>
  <si>
    <t>AYALA, VIRGINIA ISABEL</t>
  </si>
  <si>
    <t>VERONICA BALERIO CALDERON</t>
  </si>
  <si>
    <t>Pase interno TM</t>
  </si>
  <si>
    <t>00295</t>
  </si>
  <si>
    <t>ZAMUDIO VEDIA, MIGUEL OSVALDO</t>
  </si>
  <si>
    <t>00296</t>
  </si>
  <si>
    <t>CARLA PLACEREANO</t>
  </si>
  <si>
    <t>Cinthia Lopez</t>
  </si>
  <si>
    <t>00297</t>
  </si>
  <si>
    <t>Laboratorio Internacional SA</t>
  </si>
  <si>
    <t>Benitez Elias</t>
  </si>
  <si>
    <t xml:space="preserve">Passagio </t>
  </si>
  <si>
    <t>Turno mañana Lunes a viernes  6 - 14 hs - Guardia Domingo 14 a 22hs</t>
  </si>
  <si>
    <t>00298</t>
  </si>
  <si>
    <t>FARMACIA LAMAITE</t>
  </si>
  <si>
    <t>EMPLEADO/A DE MOSTRADOR</t>
  </si>
  <si>
    <t>VESTILLEIRO, RUBEN ADRIAN</t>
  </si>
  <si>
    <t>Futura desvinculación</t>
  </si>
  <si>
    <t xml:space="preserve">El puesto es critico para garantizar la dotación mínima
requerida en la farmacia. Actualmente, la operación de
los domingos depende de este rol. Su ausencia
desarticularía el esquema de atención al público,
comprometiendo la calidad del servicio.
</t>
  </si>
  <si>
    <t>Habría sobrecarga en el resto del personal, lo que
generaría riesgo de errores en la dispensación por
agotamiento físico y mental del equipo actual.</t>
  </si>
  <si>
    <t>Lunes a Viernes de 16 a 22hs y Domingos de 9 a 21hs</t>
  </si>
  <si>
    <t>Conde 815</t>
  </si>
  <si>
    <t>00299</t>
  </si>
  <si>
    <t>JEFE/A</t>
  </si>
  <si>
    <t>00300</t>
  </si>
  <si>
    <t>Centrol Médico Vilella SA</t>
  </si>
  <si>
    <t>BUSINESS MANAGER</t>
  </si>
  <si>
    <t>Administracion</t>
  </si>
  <si>
    <t>00301</t>
  </si>
  <si>
    <t>Dodero</t>
  </si>
  <si>
    <t>Acuña Gabriela</t>
  </si>
  <si>
    <t>Licencia Psiq</t>
  </si>
  <si>
    <t>00302</t>
  </si>
  <si>
    <t>SERVICIOS DE ADMINISTRACIÓN</t>
  </si>
  <si>
    <t>Jennifer Mijares</t>
  </si>
  <si>
    <t>Crecimiento del área</t>
  </si>
  <si>
    <t xml:space="preserve">El ingreso de esta oficial resulta crítico para pasar de
gestionar la crisis a dar respuestas con eficiencia
operativa, ya que actualmente la dispersión geográfica
y la cantidad de activos (20 edificios para solo 3
oficiales) anulan la capacidad de realizar
mantenimiento preventivo real. Esta incorporación
ayudaría a reducir el agotamiento del personal y
representa un ahorro directo al reducir reparaciones de
emergencia costosas, proteger el valor de los
inmuebles y garantizar que la infraestructura no afecte
la productividad de los 660 colaboradores que allí
laboran.
</t>
  </si>
  <si>
    <t xml:space="preserve">El retardo o falta de ejecución de los trabajos de falta
de mantenimiento preventivo provocaría fallas
inevitables cuyo costo de reparación sería
significativamente alto. El impacto directo sería la
degradación de la infraestructura y el aumento de los
tiempos de inactividad de las sedes, lo que
compromete la seguridad y la productividad de los
colaboradores y de los médicos, pacientes y socios que
también acuden a las instalaciones, mientras que el
agotamiento del equipo actual podría generar una
rotación de personal por fatiga, dejando a los 20
edificios en un estado de vulnerabilidad en al área de
mantenimiento.
</t>
  </si>
  <si>
    <t>Martes a Viernes de 9:00 a 18:00 y Sábados de 8:00 a
14:00</t>
  </si>
  <si>
    <t xml:space="preserve">Sede Amenabar 1074, trabajo rotativo diferentes Sedes
del Grupo
</t>
  </si>
  <si>
    <t>La aprobación de esta vacante corresponde al cambio de rol de la vacante de Jefe de Mantenimiento la cual pasa a estado CANCELADO</t>
  </si>
  <si>
    <t>00303</t>
  </si>
  <si>
    <t>Pendiente</t>
  </si>
  <si>
    <t xml:space="preserve">157266	</t>
  </si>
  <si>
    <t>MILANESIO DE OLASO, MARIA PAULA</t>
  </si>
  <si>
    <t>El area de análisis de convenios da soporte a las
actividades comerciales de Sanatorio Colegiales y
Centres Ambulatorios. El sector estaba sobrecargado
de trabajo con una sola persona (María Paula), razón
por la cual avanzamos en la contratación de Pedro
Goicoechea, quien ingresó a la empresa hace dos
semanas.</t>
  </si>
  <si>
    <t xml:space="preserve">Voveremos a estar limitados en el nivel de respuesta,
como sucedía cuando María Paula estaba sola, con el
agravante de que Pedro no tiene todavía la experiencia
suficiente para poder dar el mismo desempeño que
Paula.
</t>
  </si>
  <si>
    <t>00304</t>
  </si>
  <si>
    <t>TRAUMATOLOGIA</t>
  </si>
  <si>
    <t>GUARDIA</t>
  </si>
  <si>
    <t>FAIMAN</t>
  </si>
  <si>
    <t>ALBA MOLINA JUAN CARLOS</t>
  </si>
  <si>
    <t>LUNES 8 A 20 HS</t>
  </si>
  <si>
    <t>00305</t>
  </si>
  <si>
    <t>LEDESMA DANIELA</t>
  </si>
  <si>
    <t>00306</t>
  </si>
  <si>
    <t>SERVICIO DE ALIMENTACION</t>
  </si>
  <si>
    <t>CORDOBA</t>
  </si>
  <si>
    <t>CARDOZO OSCAR</t>
  </si>
  <si>
    <t>00307</t>
  </si>
  <si>
    <t>Quirofano</t>
  </si>
  <si>
    <t>SALAZAR PEREZ, ROSNELSI ELIANNY</t>
  </si>
  <si>
    <t>Lunes a Sábados 15 a 23 hs. Feriado rotativo</t>
  </si>
  <si>
    <t>Dolores Vargas</t>
  </si>
  <si>
    <t>00308</t>
  </si>
  <si>
    <t>PEÑA NOELIA (Delegada)</t>
  </si>
  <si>
    <t>Romina Sarmiento</t>
  </si>
  <si>
    <t>00309</t>
  </si>
  <si>
    <t>BENITEZ, NOELIA NOEMI</t>
  </si>
  <si>
    <t>00310</t>
  </si>
  <si>
    <t xml:space="preserve">ASTORGA DIAZ WENDY </t>
  </si>
  <si>
    <t>00311</t>
  </si>
  <si>
    <t>Florencia de los Santos</t>
  </si>
  <si>
    <t>14 a 22 hs por Licencia prolongada de 157990 Evelyn Haedo</t>
  </si>
  <si>
    <t>Sandra Murillo</t>
  </si>
  <si>
    <t>00312</t>
  </si>
  <si>
    <t>ORTIZ MENDOZA, HAYLI</t>
  </si>
  <si>
    <t>00313</t>
  </si>
  <si>
    <t>PERALTA ANA MARIA</t>
  </si>
  <si>
    <t>Elizabeth Goffi</t>
  </si>
  <si>
    <t>00314</t>
  </si>
  <si>
    <t>BLANCO NINA</t>
  </si>
  <si>
    <t>00315</t>
  </si>
  <si>
    <t>Carolina Romay</t>
  </si>
  <si>
    <t>00316</t>
  </si>
  <si>
    <t>Jessica Lopez</t>
  </si>
  <si>
    <t>00317</t>
  </si>
  <si>
    <t>00318</t>
  </si>
  <si>
    <t>00319</t>
  </si>
  <si>
    <t>00320</t>
  </si>
  <si>
    <t>00321</t>
  </si>
  <si>
    <t>00322</t>
  </si>
  <si>
    <t>00323</t>
  </si>
  <si>
    <t>00324</t>
  </si>
  <si>
    <t>00325</t>
  </si>
  <si>
    <t>00326</t>
  </si>
  <si>
    <t>00327</t>
  </si>
  <si>
    <t>00328</t>
  </si>
  <si>
    <t>00329</t>
  </si>
  <si>
    <t>00330</t>
  </si>
  <si>
    <t>00331</t>
  </si>
  <si>
    <t>00332</t>
  </si>
  <si>
    <t>00333</t>
  </si>
  <si>
    <t>00334</t>
  </si>
  <si>
    <t>00335</t>
  </si>
  <si>
    <t>00336</t>
  </si>
  <si>
    <t>00337</t>
  </si>
  <si>
    <t>00338</t>
  </si>
  <si>
    <t>00339</t>
  </si>
  <si>
    <t>00340</t>
  </si>
  <si>
    <t>00341</t>
  </si>
  <si>
    <t>00342</t>
  </si>
  <si>
    <t>00343</t>
  </si>
  <si>
    <t>00344</t>
  </si>
  <si>
    <t>00345</t>
  </si>
  <si>
    <t>00346</t>
  </si>
  <si>
    <t>00347</t>
  </si>
  <si>
    <t>00348</t>
  </si>
  <si>
    <t>00349</t>
  </si>
  <si>
    <t>00350</t>
  </si>
  <si>
    <t>00351</t>
  </si>
  <si>
    <t>00352</t>
  </si>
  <si>
    <t>00353</t>
  </si>
  <si>
    <t>00354</t>
  </si>
  <si>
    <t>00355</t>
  </si>
  <si>
    <t>00356</t>
  </si>
  <si>
    <t>00357</t>
  </si>
  <si>
    <t>00358</t>
  </si>
  <si>
    <t>00359</t>
  </si>
  <si>
    <t>00360</t>
  </si>
  <si>
    <t>00361</t>
  </si>
  <si>
    <t>00362</t>
  </si>
  <si>
    <t>00363</t>
  </si>
  <si>
    <t>00364</t>
  </si>
  <si>
    <t>00365</t>
  </si>
  <si>
    <t>00366</t>
  </si>
  <si>
    <t>00367</t>
  </si>
  <si>
    <t>00368</t>
  </si>
  <si>
    <t>00369</t>
  </si>
  <si>
    <t>00370</t>
  </si>
  <si>
    <t>00371</t>
  </si>
  <si>
    <t>00372</t>
  </si>
  <si>
    <t>00373</t>
  </si>
  <si>
    <t>00374</t>
  </si>
  <si>
    <t>00375</t>
  </si>
  <si>
    <t>00376</t>
  </si>
  <si>
    <t>00377</t>
  </si>
  <si>
    <t>00378</t>
  </si>
  <si>
    <t>00379</t>
  </si>
  <si>
    <t>00380</t>
  </si>
  <si>
    <t>00381</t>
  </si>
  <si>
    <t>00382</t>
  </si>
  <si>
    <t>00383</t>
  </si>
  <si>
    <t>00384</t>
  </si>
  <si>
    <t>00385</t>
  </si>
  <si>
    <t>00386</t>
  </si>
  <si>
    <t>00387</t>
  </si>
  <si>
    <t>00388</t>
  </si>
  <si>
    <t>00389</t>
  </si>
  <si>
    <t>00390</t>
  </si>
  <si>
    <t>00391</t>
  </si>
  <si>
    <t>00392</t>
  </si>
  <si>
    <t>00393</t>
  </si>
  <si>
    <t>00394</t>
  </si>
  <si>
    <t>00395</t>
  </si>
  <si>
    <t>00396</t>
  </si>
  <si>
    <t>00397</t>
  </si>
  <si>
    <t>00398</t>
  </si>
  <si>
    <t>00399</t>
  </si>
  <si>
    <t>(Varios elementos)</t>
  </si>
  <si>
    <t>(Todas)</t>
  </si>
  <si>
    <t>Cuenta de Familia de Puesto</t>
  </si>
  <si>
    <t>Total general</t>
  </si>
  <si>
    <t>Unidad</t>
  </si>
  <si>
    <t>CECO</t>
  </si>
  <si>
    <t>Familia de Puestos</t>
  </si>
  <si>
    <t>Puesto</t>
  </si>
  <si>
    <t>Status del Proceso</t>
  </si>
  <si>
    <t>Tipo de Vacante</t>
  </si>
  <si>
    <t xml:space="preserve">Motivo de contración </t>
  </si>
  <si>
    <t>Modalidad de contración</t>
  </si>
  <si>
    <t xml:space="preserve">Status General </t>
  </si>
  <si>
    <t>Estado de Aprobación</t>
  </si>
  <si>
    <t>Cirugía Endovascular SA</t>
  </si>
  <si>
    <t>BELGRANO</t>
  </si>
  <si>
    <t xml:space="preserve">Aprobación Informal </t>
  </si>
  <si>
    <t>Diag por imag de alta complejidad DR Deragopyan SA</t>
  </si>
  <si>
    <t>Base general</t>
  </si>
  <si>
    <t>Dani</t>
  </si>
  <si>
    <t>Diagnostico por imágenes Pilar SA</t>
  </si>
  <si>
    <t>Pendiente de Aprobación</t>
  </si>
  <si>
    <t>ARGIL</t>
  </si>
  <si>
    <t>Operador/a</t>
  </si>
  <si>
    <t>MKT CCENTER</t>
  </si>
  <si>
    <t>PILAR</t>
  </si>
  <si>
    <t>ADMIN.OPER.DE CALL CENTE</t>
  </si>
  <si>
    <t xml:space="preserve">Psicotécnico </t>
  </si>
  <si>
    <t>Reinsal SA</t>
  </si>
  <si>
    <t xml:space="preserve">Evaluación técnica </t>
  </si>
  <si>
    <t>Medical S Org</t>
  </si>
  <si>
    <t>SUCURSALES-RECEPCION</t>
  </si>
  <si>
    <t>CABALLITO</t>
  </si>
  <si>
    <t>ANALISTA</t>
  </si>
  <si>
    <t xml:space="preserve">Negociando condiciones </t>
  </si>
  <si>
    <t>CEMEPRO</t>
  </si>
  <si>
    <t>ARGIL SRL</t>
  </si>
  <si>
    <t>RADIOLOGIA</t>
  </si>
  <si>
    <t>Imagenes</t>
  </si>
  <si>
    <t>ADMIN.OPER.DE RECEPCION</t>
  </si>
  <si>
    <t>GENESEN SA</t>
  </si>
  <si>
    <t>SUPERVISOR/A</t>
  </si>
  <si>
    <t>Atencion al socio</t>
  </si>
  <si>
    <t>Programa de Salud SA</t>
  </si>
  <si>
    <t>SUCURSALES-RECEPCION PILAR</t>
  </si>
  <si>
    <t>FACTURACION Y COBRANZAS</t>
  </si>
  <si>
    <t>Traumato SA</t>
  </si>
  <si>
    <t>AYUDANTE</t>
  </si>
  <si>
    <t>Medin SA</t>
  </si>
  <si>
    <t>Servicio de Apoyo</t>
  </si>
  <si>
    <t>OFICIAL</t>
  </si>
  <si>
    <t>Centrol Médico de la Mujer SA</t>
  </si>
  <si>
    <t>CARDIOLOGIA</t>
  </si>
  <si>
    <t>Gerencia Medica</t>
  </si>
  <si>
    <t>OPERARIO/A</t>
  </si>
  <si>
    <t>UNIDAD CORONARIA</t>
  </si>
  <si>
    <t>BECARIA/O</t>
  </si>
  <si>
    <t>Centrol Integral de Resonancia SA</t>
  </si>
  <si>
    <t>FUCOS</t>
  </si>
  <si>
    <t>RESIDENTE 1*</t>
  </si>
  <si>
    <t>At. al Paciente</t>
  </si>
  <si>
    <t>BECARIOS</t>
  </si>
  <si>
    <t>PRESTACIONES MEDICAS</t>
  </si>
  <si>
    <t>DEFAULT</t>
  </si>
  <si>
    <t>MEDICA- LABORATORIO</t>
  </si>
  <si>
    <t>QUILMES</t>
  </si>
  <si>
    <t>GERENTE/A</t>
  </si>
  <si>
    <t>Default Contable</t>
  </si>
  <si>
    <t>RESIDENTE 2*</t>
  </si>
  <si>
    <t>Maestranza</t>
  </si>
  <si>
    <t>ENCARGADO/A</t>
  </si>
  <si>
    <t>MEDICA CARDIO 2</t>
  </si>
  <si>
    <t>RESIDENTE 4*</t>
  </si>
  <si>
    <t>CAMILLEROS</t>
  </si>
  <si>
    <t>BMI</t>
  </si>
  <si>
    <t>RESIDENTE 3*</t>
  </si>
  <si>
    <t>SUCURSALES-RECEPCION LABORATORIO</t>
  </si>
  <si>
    <t>Contrataciones</t>
  </si>
  <si>
    <t>AUXILIAR</t>
  </si>
  <si>
    <t>SAN ISIDRO</t>
  </si>
  <si>
    <t>GESTIONES ESPECIALES</t>
  </si>
  <si>
    <t>LIQUIDACION DE PRESTACIONES</t>
  </si>
  <si>
    <t>MEDIOS DIGITALES</t>
  </si>
  <si>
    <t>FACTURACION Y COBRANZA</t>
  </si>
  <si>
    <t>PRESIDENTE/A</t>
  </si>
  <si>
    <t>Autorizaciones</t>
  </si>
  <si>
    <t>COBRANZAS</t>
  </si>
  <si>
    <t>ASISTENTE</t>
  </si>
  <si>
    <t>ATENCION AL PUBLICO</t>
  </si>
  <si>
    <t>Kinesiologia</t>
  </si>
  <si>
    <t>REPRESENTANTE COMERCIAL</t>
  </si>
  <si>
    <t>BUSINESS INTELIGENCE</t>
  </si>
  <si>
    <t>Bristol</t>
  </si>
  <si>
    <t>DIRECTOR/A</t>
  </si>
  <si>
    <t>CONTABILIDAD</t>
  </si>
  <si>
    <t>COBERMED</t>
  </si>
  <si>
    <t>PORTERO</t>
  </si>
  <si>
    <t>MEDICINA TRANSFUSIONAL</t>
  </si>
  <si>
    <t>ENCUESTADOR/A</t>
  </si>
  <si>
    <t>CADETE/A</t>
  </si>
  <si>
    <t xml:space="preserve">CETRO </t>
  </si>
  <si>
    <t>AUDITOR/A</t>
  </si>
  <si>
    <t>SECRETARIO/A</t>
  </si>
  <si>
    <t>PERSONAL DE LIMPIEZA</t>
  </si>
  <si>
    <t>ADMIN.DE COMP. Y EE</t>
  </si>
  <si>
    <t>DIRECCION GENERAL</t>
  </si>
  <si>
    <t>MEDICA RM1</t>
  </si>
  <si>
    <t>INSTRUCTOR/A</t>
  </si>
  <si>
    <t>VENTAS OS.P.P</t>
  </si>
  <si>
    <t>COCINERO/A</t>
  </si>
  <si>
    <t>FIDELIZACION Y BAJAS</t>
  </si>
  <si>
    <t>JEFE/A DE RESIDENTES</t>
  </si>
  <si>
    <t>DIRECTOR/A TECNICO/A</t>
  </si>
  <si>
    <t>MEDICA RM3</t>
  </si>
  <si>
    <t>ANALISTA DE FINANZAS</t>
  </si>
  <si>
    <t>COMUNICACION</t>
  </si>
  <si>
    <t>DEPOSITO</t>
  </si>
  <si>
    <t>PROGRAMADOR/A</t>
  </si>
  <si>
    <t>OBRAS</t>
  </si>
  <si>
    <t>ABOGADO/A</t>
  </si>
  <si>
    <t>FINANZAS</t>
  </si>
  <si>
    <t>Busines Manager</t>
  </si>
  <si>
    <t>MEDICA RX2</t>
  </si>
  <si>
    <t>DIRECTOR RESIDENCIA</t>
  </si>
  <si>
    <t>INFECTOLOGIA</t>
  </si>
  <si>
    <t>DISEÑADOR/A</t>
  </si>
  <si>
    <t>MEDICA ESTRUCTURA</t>
  </si>
  <si>
    <t>Coordinar/a</t>
  </si>
  <si>
    <t>CALIDAD DE SERVICIO</t>
  </si>
  <si>
    <t>AGENTE DE PROPAGANDA MEDICA</t>
  </si>
  <si>
    <t>LAVADERO Y ROPERIA</t>
  </si>
  <si>
    <t>Coord de Atraccion y desarrollo de Talentos</t>
  </si>
  <si>
    <t>ENDOSCOPIA</t>
  </si>
  <si>
    <t>MEDICA RM2</t>
  </si>
  <si>
    <t>SUB ENCARGADO/A</t>
  </si>
  <si>
    <t>RECU POSTQUIRURGICA</t>
  </si>
  <si>
    <t>RESPONSABLE</t>
  </si>
  <si>
    <t>TESORERIA</t>
  </si>
  <si>
    <t>DESARROLLADOR/A BACKEND</t>
  </si>
  <si>
    <t>MANTENIMIENTO - ESTRUCTURA</t>
  </si>
  <si>
    <t>NUTRICIONISTA</t>
  </si>
  <si>
    <t>SUCURSALES PORTERIA</t>
  </si>
  <si>
    <t>PLANIFICADOR/A</t>
  </si>
  <si>
    <t>Analista Sr. de Calidad</t>
  </si>
  <si>
    <t>FACTURACION Y PRESENTACION DE FACTURAS</t>
  </si>
  <si>
    <t>Medico Informante</t>
  </si>
  <si>
    <t>MEDICA-CARDIO1</t>
  </si>
  <si>
    <t>COSTURERO/A</t>
  </si>
  <si>
    <t>PEDIATRIA</t>
  </si>
  <si>
    <t>ANALISTA CONTABLE E IMPOSITIVO</t>
  </si>
  <si>
    <t>Cadeteria</t>
  </si>
  <si>
    <t>SELECTOR/A</t>
  </si>
  <si>
    <t>RX y MAMOGRAFIA</t>
  </si>
  <si>
    <t>Analista gest de las personas</t>
  </si>
  <si>
    <t>Líder de Tecnología</t>
  </si>
  <si>
    <t>BACTERIOLOGIA</t>
  </si>
  <si>
    <t>MEDICA-CARDIO2</t>
  </si>
  <si>
    <t>Resp IT Caballito</t>
  </si>
  <si>
    <t>DIGITAL MANAGER</t>
  </si>
  <si>
    <t>DIRECCION MEDICA</t>
  </si>
  <si>
    <t>LIDER CHANGE MANAGEMENT</t>
  </si>
  <si>
    <t>default</t>
  </si>
  <si>
    <t>Gerente</t>
  </si>
  <si>
    <t>Aportes</t>
  </si>
  <si>
    <t>Referente Mantenimiento</t>
  </si>
  <si>
    <t>MEDICA MAMO 2</t>
  </si>
  <si>
    <t>MEDIO OFICIAL</t>
  </si>
  <si>
    <t>ESTERILIZACION</t>
  </si>
  <si>
    <t>Coordinadora de cuentas a cobras centros médicos</t>
  </si>
  <si>
    <t>MANTENIMIENTO - INTENDENCIA</t>
  </si>
  <si>
    <t>ANALISTA DE COMPRAS</t>
  </si>
  <si>
    <t>ADSCRIPTO/A</t>
  </si>
  <si>
    <t>RESONANCIA</t>
  </si>
  <si>
    <t>MUCAMO/A CAMILLERO/A</t>
  </si>
  <si>
    <t>Facturacion</t>
  </si>
  <si>
    <t>ENFERMERO/A JEFE/A</t>
  </si>
  <si>
    <t>MEDICA D01</t>
  </si>
  <si>
    <t>CHOFER</t>
  </si>
  <si>
    <t>Instrumentacion</t>
  </si>
  <si>
    <t>Lider de Gestion de las personas</t>
  </si>
  <si>
    <t>MEDICA-ESTRUCTURA</t>
  </si>
  <si>
    <t>ANALISTA DE COMPRAS JR.</t>
  </si>
  <si>
    <t>Calidad</t>
  </si>
  <si>
    <t>HRBP</t>
  </si>
  <si>
    <t>Auditoria</t>
  </si>
  <si>
    <t>Jefe de Sistemas</t>
  </si>
  <si>
    <t>VENTAS PRIVADO</t>
  </si>
  <si>
    <t>COORDINADORA DE ABM DE AGENDAS</t>
  </si>
  <si>
    <t>MEDICA-RM1</t>
  </si>
  <si>
    <t>CARPINTERIA</t>
  </si>
  <si>
    <t>MEDICA-RM2</t>
  </si>
  <si>
    <t>Analista de Estrategia GI</t>
  </si>
  <si>
    <t>MEDICA-RXG2</t>
  </si>
  <si>
    <t>Resp. IT Pilar</t>
  </si>
  <si>
    <t>MEDICA TC1</t>
  </si>
  <si>
    <t>CARPINTERO/A</t>
  </si>
  <si>
    <t>MEDICINA NUCLEAR</t>
  </si>
  <si>
    <t>JEFE/A RESIDENTES</t>
  </si>
  <si>
    <t>MEDICA GESTION DE INFORMES</t>
  </si>
  <si>
    <t>Intendente</t>
  </si>
  <si>
    <t>HEMODINAMIA</t>
  </si>
  <si>
    <t>Socio-Gerente</t>
  </si>
  <si>
    <t>CALIDAD Y PROCESOS</t>
  </si>
  <si>
    <t>Jefe Compras  y Abastecimiento</t>
  </si>
  <si>
    <t>MEDICA MAMO 1</t>
  </si>
  <si>
    <t>SUB DIRECTOR/A</t>
  </si>
  <si>
    <t>MEDICA-RM4</t>
  </si>
  <si>
    <t>Coord de Admin y Finanzas</t>
  </si>
  <si>
    <t>MEDICA-ENDOSCOPIA</t>
  </si>
  <si>
    <t>SUBGERENTE COMERCIAL</t>
  </si>
  <si>
    <t>TOMOGRAFIA</t>
  </si>
  <si>
    <t>JEFE DE CONTABILIDAD</t>
  </si>
  <si>
    <t>Convenio y Contrataciones</t>
  </si>
  <si>
    <t>TEAM LEADER</t>
  </si>
  <si>
    <t>RECUPERO SUR</t>
  </si>
  <si>
    <t>JEFE DE PLANEAMIENTO COMERCIAL</t>
  </si>
  <si>
    <t>Medical</t>
  </si>
  <si>
    <t>Fidelización y Bajas</t>
  </si>
  <si>
    <t>PSICOLOGO/A</t>
  </si>
  <si>
    <t>ABM de Agendas</t>
  </si>
  <si>
    <t>DROGUERIA</t>
  </si>
  <si>
    <t>SUCURSALES ABM AGENDA</t>
  </si>
  <si>
    <t>CONTADURIA</t>
  </si>
  <si>
    <t>MEDICA ITINERANTE</t>
  </si>
  <si>
    <t>MAMOGRAFIA</t>
  </si>
  <si>
    <t>SUCURSALES-ABM AGENDAS</t>
  </si>
  <si>
    <t>Administrativo/a de atención al público</t>
  </si>
  <si>
    <t>MEDICA INFORMANTE</t>
  </si>
  <si>
    <t>MEDICA RX G1</t>
  </si>
  <si>
    <t>MANT-ESTRUCTURA</t>
  </si>
  <si>
    <t>MEDICA-DO2</t>
  </si>
  <si>
    <t>Prog.de Salud</t>
  </si>
  <si>
    <t>VENTA RETAIL</t>
  </si>
  <si>
    <t>At. Al Profesional</t>
  </si>
  <si>
    <t>MEDICA-CONSULTORIO</t>
  </si>
  <si>
    <t>MEDICA-RM3</t>
  </si>
  <si>
    <t>IMAGENES</t>
  </si>
  <si>
    <t>A Definir</t>
  </si>
  <si>
    <t>MEDICA-MAM1</t>
  </si>
  <si>
    <t>MEDICA-RX G1</t>
  </si>
  <si>
    <t>LIQUIDACION DE PAGOS</t>
  </si>
  <si>
    <t>MEDICA-RX01</t>
  </si>
  <si>
    <t>Enfermero/a de Neo</t>
  </si>
  <si>
    <t>MEDICA-D01</t>
  </si>
  <si>
    <t>MEDICA TC2</t>
  </si>
  <si>
    <t>GESTION DE LAS PERSONAS</t>
  </si>
  <si>
    <t>MEDICA-TC1</t>
  </si>
  <si>
    <t>GRUPO COBER - Centros Médicos</t>
  </si>
  <si>
    <t>MEDICA-TC2</t>
  </si>
  <si>
    <t>VENTAS</t>
  </si>
  <si>
    <t>MEDICA-TC3</t>
  </si>
  <si>
    <t>MEDICA-MAM2</t>
  </si>
  <si>
    <t>MEDICA - GESTION DE INFORMES</t>
  </si>
  <si>
    <t>PSICOLOGIA</t>
  </si>
  <si>
    <t>SUCURSALES-INTENDENCIA</t>
  </si>
  <si>
    <t>HEPATOLOGIA</t>
  </si>
  <si>
    <t>Identificación de la vacante</t>
  </si>
  <si>
    <t>Aprobación y confidencialidad</t>
  </si>
  <si>
    <t>Información organizacional</t>
  </si>
  <si>
    <t>Información del puesto</t>
  </si>
  <si>
    <t>Seguimiento del proceso</t>
  </si>
  <si>
    <t>Tipo de necesidad</t>
  </si>
  <si>
    <t>Condiciones del puesto</t>
  </si>
  <si>
    <t>Cierre del proceso</t>
  </si>
  <si>
    <t>Recursos asignados</t>
  </si>
  <si>
    <t>Observaciones</t>
  </si>
  <si>
    <t>Razón Social</t>
  </si>
  <si>
    <t>Status del proceso</t>
  </si>
  <si>
    <t>Nombre de reemplazo</t>
  </si>
  <si>
    <t>Horario</t>
  </si>
  <si>
    <t>Fecha de ingreso</t>
  </si>
  <si>
    <t>Lugar de trabajo</t>
  </si>
  <si>
    <t>Tipo de búsqueda</t>
  </si>
  <si>
    <t>Fuente de selección</t>
  </si>
  <si>
    <t>Nombre del seleccionado/a:</t>
  </si>
  <si>
    <t>Seleccionar y/o escribir el nombre del candidato a buscar</t>
  </si>
  <si>
    <t>Si arroja como resultado "0" y/o "No encontrado" significa que el dato buscado, no se encuentra cargado en la hoja "BASE"</t>
  </si>
  <si>
    <t>N° Legajo reemplazo</t>
  </si>
  <si>
    <t>Nombre reemplazo</t>
  </si>
  <si>
    <t>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</si>
</sst>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0"/>
      <color rgb="FF000000"/>
      <name val="Arial"/>
    </font>
    <font>
      <sz val="11"/>
      <color rgb="FF000000"/>
      <name val="Arial"/>
    </font>
    <font>
      <b/>
      <sz val="11"/>
      <color theme="1"/>
      <name val="Arial"/>
    </font>
    <font>
      <b/>
      <sz val="11"/>
      <color rgb="FF000000"/>
      <name val="Arial"/>
    </font>
    <font>
      <sz val="11"/>
      <color theme="1"/>
      <name val="Arial"/>
    </font>
    <font>
      <sz val="11"/>
      <color theme="4" tint="-0.499984740745262"/>
      <name val="Calibri"/>
      <family val="2"/>
      <scheme val="minor"/>
    </font>
    <font>
      <b/>
      <sz val="11"/>
      <color theme="0"/>
      <name val="Calibri"/>
      <family val="2"/>
      <scheme val="minor"/>
    </font>
    <font>
      <b/>
      <sz val="11"/>
      <color rgb="FF000000"/>
      <name val="Aptos Narrow"/>
      <charset val="1"/>
    </font>
    <font>
      <sz val="10"/>
      <color theme="1"/>
      <name val="Arial"/>
      <charset val="1"/>
    </font>
  </fonts>
  <fills count="9">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7">
    <xf numFmtId="0" fontId="0" fillId="0" borderId="0" xfId="0"/>
    <xf numFmtId="0" fontId="1" fillId="0" borderId="0" xfId="0" applyFont="1"/>
    <xf numFmtId="0" fontId="1" fillId="0" borderId="0" xfId="0" applyFont="1" applyAlignment="1">
      <alignment horizont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4" fontId="6" fillId="0" borderId="1" xfId="0" applyNumberFormat="1" applyFont="1" applyBorder="1" applyAlignment="1">
      <alignment horizontal="center" vertical="center" wrapText="1"/>
    </xf>
    <xf numFmtId="0" fontId="6" fillId="0" borderId="0" xfId="0" applyFont="1" applyAlignment="1">
      <alignment horizontal="center" vertical="center" wrapText="1"/>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4" fontId="6" fillId="0" borderId="1" xfId="0" applyNumberFormat="1"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14"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0" fillId="0" borderId="0" xfId="0" pivotButton="1"/>
    <xf numFmtId="0" fontId="0" fillId="0" borderId="0" xfId="0" applyNumberFormat="1"/>
    <xf numFmtId="1" fontId="6" fillId="0" borderId="1" xfId="0" applyNumberFormat="1" applyFont="1" applyBorder="1" applyAlignment="1">
      <alignment horizontal="center" vertical="center" wrapText="1"/>
    </xf>
    <xf numFmtId="0" fontId="6" fillId="0" borderId="0" xfId="0" applyFont="1"/>
    <xf numFmtId="0" fontId="4" fillId="3" borderId="0" xfId="0" applyFont="1" applyFill="1" applyAlignment="1">
      <alignment horizontal="center" vertical="center"/>
    </xf>
    <xf numFmtId="0" fontId="1" fillId="4" borderId="0" xfId="0" applyNumberFormat="1" applyFont="1" applyFill="1"/>
    <xf numFmtId="0" fontId="6" fillId="0"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vertical="center" wrapText="1"/>
    </xf>
    <xf numFmtId="0" fontId="8" fillId="6" borderId="0" xfId="0" applyFont="1" applyFill="1"/>
    <xf numFmtId="14" fontId="0" fillId="5" borderId="0" xfId="0" applyNumberFormat="1" applyFill="1" applyAlignment="1">
      <alignment horizontal="center" wrapText="1"/>
    </xf>
    <xf numFmtId="0" fontId="0" fillId="5" borderId="0" xfId="0" applyFill="1" applyAlignment="1">
      <alignment horizontal="center" wrapText="1"/>
    </xf>
    <xf numFmtId="0" fontId="8" fillId="6" borderId="0" xfId="0" applyFont="1" applyFill="1" applyAlignment="1">
      <alignment wrapText="1"/>
    </xf>
    <xf numFmtId="0" fontId="9" fillId="7" borderId="0" xfId="0" applyFont="1" applyFill="1" applyAlignment="1">
      <alignment horizontal="center"/>
    </xf>
    <xf numFmtId="0" fontId="6" fillId="0" borderId="0" xfId="0" applyFont="1" applyAlignment="1">
      <alignment horizontal="center" vertical="center"/>
    </xf>
    <xf numFmtId="0" fontId="6" fillId="8" borderId="1" xfId="0" applyFont="1" applyFill="1" applyBorder="1" applyAlignment="1">
      <alignment horizontal="center" vertical="center" wrapText="1"/>
    </xf>
    <xf numFmtId="14" fontId="6" fillId="8" borderId="1" xfId="0" applyNumberFormat="1" applyFont="1" applyFill="1" applyBorder="1" applyAlignment="1">
      <alignment horizontal="center" vertical="center" wrapText="1"/>
    </xf>
    <xf numFmtId="0" fontId="6" fillId="8" borderId="2" xfId="0" applyFont="1" applyFill="1" applyBorder="1" applyAlignment="1">
      <alignment horizontal="center" vertical="center" wrapText="1"/>
    </xf>
    <xf numFmtId="0" fontId="10" fillId="0" borderId="0" xfId="0" applyFont="1" applyAlignment="1">
      <alignment horizontal="center"/>
    </xf>
    <xf numFmtId="14" fontId="6" fillId="0" borderId="0" xfId="0" applyNumberFormat="1" applyFont="1" applyAlignment="1">
      <alignment horizontal="center" vertical="center" wrapText="1"/>
    </xf>
    <xf numFmtId="49" fontId="6" fillId="0" borderId="2" xfId="0" applyNumberFormat="1" applyFont="1" applyBorder="1" applyAlignment="1">
      <alignment horizontal="center" vertical="center" wrapText="1"/>
    </xf>
    <xf numFmtId="0" fontId="7" fillId="5" borderId="0" xfId="0" applyFont="1" applyFill="1" applyAlignment="1">
      <alignment horizontal="center" vertical="center" wrapText="1"/>
    </xf>
  </cellXfs>
  <cellStyles count="1">
    <cellStyle name="Normal" xfId="0" builtinId="0"/>
  </cellStyles>
  <dxfs count="8">
    <dxf>
      <font>
        <color rgb="FF9C0006"/>
      </font>
      <fill>
        <patternFill>
          <bgColor rgb="FFFFC7CE"/>
        </patternFill>
      </fill>
    </dxf>
    <dxf>
      <font>
        <color rgb="FF9C0006"/>
      </font>
      <fill>
        <patternFill>
          <bgColor rgb="FFFFC7CE"/>
        </patternFill>
      </fill>
    </dxf>
    <dxf>
      <font>
        <b/>
        <i val="0"/>
        <color theme="1"/>
      </font>
      <fill>
        <patternFill patternType="solid">
          <bgColor rgb="FFFF0000"/>
        </patternFill>
      </fill>
    </dxf>
    <dxf>
      <font>
        <b/>
        <i val="0"/>
      </font>
      <fill>
        <patternFill>
          <bgColor rgb="FFFFC7CE"/>
        </patternFill>
      </fill>
    </dxf>
    <dxf>
      <font>
        <b/>
        <i val="0"/>
        <color theme="1"/>
      </font>
      <fill>
        <patternFill patternType="solid">
          <bgColor rgb="FFFFEB9C"/>
        </patternFill>
      </fill>
    </dxf>
    <dxf>
      <font>
        <b/>
        <i val="0"/>
        <color theme="1"/>
      </font>
      <fill>
        <patternFill>
          <bgColor rgb="FFC6EFCE"/>
        </patternFill>
      </fill>
    </dxf>
    <dxf>
      <fill>
        <patternFill patternType="solid">
          <fgColor indexed="64"/>
          <bgColor theme="5"/>
        </patternFill>
      </fill>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40.334570833336" createdVersion="8" refreshedVersion="8" minRefreshableVersion="3" recordCount="317" xr:uid="{7E264A69-51CF-43BD-BC5E-98DBDCD3D161}">
  <cacheSource type="worksheet">
    <worksheetSource ref="A1:AO318" sheet="BASE"/>
  </cacheSource>
  <cacheFields count="41">
    <cacheField name="N° Vacante" numFmtId="49">
      <sharedItems/>
    </cacheField>
    <cacheField name="Fecha de solicitud" numFmtId="14">
      <sharedItems containsNonDate="0" containsDate="1" containsString="0" containsBlank="1" minDate="2025-01-16T00:00:00" maxDate="2026-04-28T00:00:00"/>
    </cacheField>
    <cacheField name="Días de apertura" numFmtId="1">
      <sharedItems containsMixedTypes="1" containsNumber="1" containsInteger="1" minValue="1" maxValue="105"/>
    </cacheField>
    <cacheField name="Selector" numFmtId="0">
      <sharedItems containsBlank="1" count="7">
        <s v="Franco"/>
        <s v="Jose"/>
        <s v="Ema"/>
        <s v="Fer"/>
        <s v="Juanpi"/>
        <m/>
        <s v="Fran" u="1"/>
      </sharedItems>
    </cacheField>
    <cacheField name="Estado de aprobación" numFmtId="0">
      <sharedItems containsBlank="1"/>
    </cacheField>
    <cacheField name="¿Aplica para movimiento interno de reasignación?" numFmtId="0">
      <sharedItems containsBlank="1"/>
    </cacheField>
    <cacheField name="Confidencial" numFmtId="0">
      <sharedItems containsBlank="1"/>
    </cacheField>
    <cacheField name="Vacante sujeta a futura desvinculación" numFmtId="0">
      <sharedItems containsBlank="1"/>
    </cacheField>
    <cacheField name="Fecha estimada de desvinculación" numFmtId="0">
      <sharedItems containsDate="1" containsBlank="1" containsMixedTypes="1" minDate="2026-04-19T00:00:00" maxDate="2026-05-19T00:00:00"/>
    </cacheField>
    <cacheField name="Unidad de Negocio" numFmtId="0">
      <sharedItems containsBlank="1"/>
    </cacheField>
    <cacheField name="Razon Social" numFmtId="0">
      <sharedItems containsBlank="1"/>
    </cacheField>
    <cacheField name="Sector" numFmtId="0">
      <sharedItems containsBlank="1"/>
    </cacheField>
    <cacheField name="Centro de Costo" numFmtId="0">
      <sharedItems containsBlank="1"/>
    </cacheField>
    <cacheField name="Familia de Puesto" numFmtId="0">
      <sharedItems containsBlank="1"/>
    </cacheField>
    <cacheField name="Puesto " numFmtId="0">
      <sharedItems containsBlank="1"/>
    </cacheField>
    <cacheField name="Líder" numFmtId="0">
      <sharedItems containsBlank="1"/>
    </cacheField>
    <cacheField name="Hiring Manager" numFmtId="0">
      <sharedItems containsBlank="1"/>
    </cacheField>
    <cacheField name="Status general" numFmtId="0">
      <sharedItems containsBlank="1" count="7">
        <s v="Cerrada "/>
        <s v="Cancelada"/>
        <s v="En curso "/>
        <s v="En proceso de Ingreso"/>
        <s v="StandBy"/>
        <m/>
        <s v="Pendiente de Aprobación" u="1"/>
      </sharedItems>
    </cacheField>
    <cacheField name="Status del proceso " numFmtId="0">
      <sharedItems containsBlank="1" count="18">
        <s v="Ingreso "/>
        <s v="Cancelada"/>
        <s v="Entrevista Atracción de Talento"/>
        <s v="Entrevista Hiring Manager"/>
        <s v="Preocupacional "/>
        <s v="StandBy"/>
        <s v="Carta Oferta"/>
        <s v="Assessment Center"/>
        <m/>
        <s v="Ingreso"/>
        <s v="Preselección/Screening "/>
        <s v="Relevamiento de Perfil"/>
        <s v="Publicación/Analizando CVs"/>
        <s v="Cerrado" u="1"/>
        <s v="Pendiente de Aprobación" u="1"/>
        <s v="Entrevista" u="1"/>
        <s v="Preocupacional" u="1"/>
        <s v="Entrevista RRHH" u="1"/>
      </sharedItems>
    </cacheField>
    <cacheField name="Fecha estimada de ingreso" numFmtId="0">
      <sharedItems containsNonDate="0" containsDate="1" containsString="0" containsBlank="1" minDate="2026-03-19T00:00:00" maxDate="2026-06-16T00:00:00"/>
    </cacheField>
    <cacheField name="Dificultad" numFmtId="0">
      <sharedItems containsBlank="1"/>
    </cacheField>
    <cacheField name="Prioridad" numFmtId="0">
      <sharedItems containsBlank="1"/>
    </cacheField>
    <cacheField name="Tipo de vacante" numFmtId="0">
      <sharedItems containsBlank="1"/>
    </cacheField>
    <cacheField name="Número de Legajo del reemplazo" numFmtId="0">
      <sharedItems containsBlank="1" containsMixedTypes="1" containsNumber="1" containsInteger="1" minValue="5" maxValue="170953"/>
    </cacheField>
    <cacheField name="Nombre de reemplazo " numFmtId="0">
      <sharedItems containsBlank="1"/>
    </cacheField>
    <cacheField name="Motivo de contratación" numFmtId="0">
      <sharedItems containsBlank="1"/>
    </cacheField>
    <cacheField name="Modalidad de contratación" numFmtId="0">
      <sharedItems containsBlank="1"/>
    </cacheField>
    <cacheField name="Justificación de la cobertura" numFmtId="0">
      <sharedItems containsBlank="1" longText="1"/>
    </cacheField>
    <cacheField name="¿Qué ocurre si la vacante no se cubre?" numFmtId="0">
      <sharedItems containsBlank="1" longText="1"/>
    </cacheField>
    <cacheField name="Horario " numFmtId="0">
      <sharedItems containsBlank="1"/>
    </cacheField>
    <cacheField name="Lugar de trabajo " numFmtId="0">
      <sharedItems containsBlank="1"/>
    </cacheField>
    <cacheField name="Fecha de cierre" numFmtId="0">
      <sharedItems containsNonDate="0" containsDate="1" containsString="0" containsBlank="1" minDate="2025-11-13T00:00:00" maxDate="2026-04-28T00:00:00"/>
    </cacheField>
    <cacheField name="Fecha de Ingreso" numFmtId="0">
      <sharedItems containsNonDate="0" containsDate="1" containsString="0" containsBlank="1" minDate="2025-04-20T00:00:00" maxDate="2026-05-05T00:00:00"/>
    </cacheField>
    <cacheField name="Tipo de Búsqueda" numFmtId="14">
      <sharedItems containsBlank="1"/>
    </cacheField>
    <cacheField name="Fuente de selección " numFmtId="0">
      <sharedItems containsBlank="1"/>
    </cacheField>
    <cacheField name="Nombre del seleccionado/a" numFmtId="0">
      <sharedItems containsBlank="1"/>
    </cacheField>
    <cacheField name="Remuneración acordada" numFmtId="0">
      <sharedItems containsBlank="1" containsMixedTypes="1" containsNumber="1" minValue="2291699.17" maxValue="2291699.17"/>
    </cacheField>
    <cacheField name="CCT" numFmtId="0">
      <sharedItems containsBlank="1" containsMixedTypes="1" containsNumber="1" containsInteger="1" minValue="108" maxValue="414"/>
    </cacheField>
    <cacheField name="Notebook" numFmtId="0">
      <sharedItems containsBlank="1"/>
    </cacheField>
    <cacheField name="Blue" numFmtId="0">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40.334571643521" createdVersion="8" refreshedVersion="8" minRefreshableVersion="3" recordCount="310" xr:uid="{ABBB2370-C06A-4D77-8664-32F0663D2C71}">
  <cacheSource type="worksheet">
    <worksheetSource ref="A1:AO311" sheet="BASE"/>
  </cacheSource>
  <cacheFields count="41">
    <cacheField name="N° Vacante" numFmtId="49">
      <sharedItems/>
    </cacheField>
    <cacheField name="Fecha de solicitud" numFmtId="14">
      <sharedItems containsSemiMixedTypes="0" containsNonDate="0" containsDate="1" containsString="0" minDate="2025-01-16T00:00:00" maxDate="2026-04-21T00:00:00"/>
    </cacheField>
    <cacheField name="Días de apertura" numFmtId="1">
      <sharedItems containsMixedTypes="1" containsNumber="1" containsInteger="1" minValue="8" maxValue="105"/>
    </cacheField>
    <cacheField name="Selector" numFmtId="0">
      <sharedItems/>
    </cacheField>
    <cacheField name="Estado de aprobación" numFmtId="0">
      <sharedItems/>
    </cacheField>
    <cacheField name="¿Aplica para movimiento interno de reasignación?" numFmtId="0">
      <sharedItems containsBlank="1"/>
    </cacheField>
    <cacheField name="Confidencial" numFmtId="0">
      <sharedItems containsBlank="1"/>
    </cacheField>
    <cacheField name="Vacante sujeta a futura desvinculación" numFmtId="0">
      <sharedItems containsBlank="1"/>
    </cacheField>
    <cacheField name="Fecha estimada de desvinculación" numFmtId="0">
      <sharedItems containsDate="1" containsBlank="1" containsMixedTypes="1" minDate="2026-04-19T00:00:00" maxDate="2026-05-19T00:00:00"/>
    </cacheField>
    <cacheField name="Unidad de Negocio" numFmtId="0">
      <sharedItems containsBlank="1" count="11">
        <s v="PREPAGA"/>
        <s v="DROGUERÍA"/>
        <s v="Centros Ambulatorios"/>
        <s v="SANATORIO COLEGIALES"/>
        <s v="CORPO"/>
        <s v="CMV"/>
        <s v="LABBO"/>
        <s v="FARMACIA"/>
        <s v="CMD"/>
        <s v="SERVICIOS DE ADMINISTRACIÓN"/>
        <m u="1"/>
      </sharedItems>
    </cacheField>
    <cacheField name="Razon Social" numFmtId="0">
      <sharedItems containsBlank="1"/>
    </cacheField>
    <cacheField name="Sector" numFmtId="0">
      <sharedItems containsBlank="1"/>
    </cacheField>
    <cacheField name="Centro de Costo" numFmtId="0">
      <sharedItems containsBlank="1"/>
    </cacheField>
    <cacheField name="Familia de Puesto" numFmtId="0">
      <sharedItems/>
    </cacheField>
    <cacheField name="Puesto " numFmtId="0">
      <sharedItems/>
    </cacheField>
    <cacheField name="Líder" numFmtId="0">
      <sharedItems/>
    </cacheField>
    <cacheField name="Hiring Manager" numFmtId="0">
      <sharedItems containsBlank="1"/>
    </cacheField>
    <cacheField name="Status general" numFmtId="0">
      <sharedItems containsBlank="1" count="7">
        <s v="Cerrada "/>
        <s v="Cancelada"/>
        <s v="En curso "/>
        <s v="En proceso de Ingreso"/>
        <s v="StandBy"/>
        <s v="Pendiente de Aprobación" u="1"/>
        <m u="1"/>
      </sharedItems>
    </cacheField>
    <cacheField name="Status del proceso " numFmtId="0">
      <sharedItems containsBlank="1" count="21">
        <s v="Ingreso "/>
        <s v="Cancelada"/>
        <s v="Entrevista Atracción de Talento"/>
        <s v="Entrevista Hiring Manager"/>
        <s v="Preocupacional "/>
        <s v="StandBy"/>
        <s v="Carta Oferta"/>
        <s v="Assessment Center"/>
        <m/>
        <s v="Ingreso"/>
        <s v="Preselección/Screening "/>
        <s v="Relevamiento de Perfil"/>
        <s v="Publicación/Analizando CVs"/>
        <s v="Cerrado" u="1"/>
        <s v="Pendiente de Aprobación" u="1"/>
        <s v="Preocupacional" u="1"/>
        <s v="Entrevista RRHH" u="1"/>
        <s v="Entrevista Gestor" u="1"/>
        <s v="Psicotécnico " u="1"/>
        <s v="Psicotécnico" u="1"/>
        <s v="Cerrada" u="1"/>
      </sharedItems>
    </cacheField>
    <cacheField name="Fecha estimada de ingreso" numFmtId="0">
      <sharedItems containsNonDate="0" containsDate="1" containsString="0" containsBlank="1" minDate="2026-03-19T00:00:00" maxDate="2026-06-16T00:00:00"/>
    </cacheField>
    <cacheField name="Dificultad" numFmtId="0">
      <sharedItems containsBlank="1"/>
    </cacheField>
    <cacheField name="Prioridad" numFmtId="0">
      <sharedItems containsBlank="1"/>
    </cacheField>
    <cacheField name="Tipo de vacante" numFmtId="0">
      <sharedItems containsBlank="1"/>
    </cacheField>
    <cacheField name="Número de Legajo del reemplazo" numFmtId="0">
      <sharedItems containsBlank="1" containsMixedTypes="1" containsNumber="1" containsInteger="1" minValue="5" maxValue="170953"/>
    </cacheField>
    <cacheField name="Nombre de reemplazo " numFmtId="0">
      <sharedItems containsBlank="1"/>
    </cacheField>
    <cacheField name="Motivo de contratación" numFmtId="0">
      <sharedItems containsBlank="1"/>
    </cacheField>
    <cacheField name="Modalidad de contratación" numFmtId="0">
      <sharedItems containsBlank="1"/>
    </cacheField>
    <cacheField name="Justificación de la cobertura" numFmtId="0">
      <sharedItems containsBlank="1" longText="1"/>
    </cacheField>
    <cacheField name="¿Qué ocurre si la vacante no se cubre?" numFmtId="0">
      <sharedItems containsBlank="1" longText="1"/>
    </cacheField>
    <cacheField name="Horario " numFmtId="0">
      <sharedItems containsBlank="1"/>
    </cacheField>
    <cacheField name="Lugar de trabajo " numFmtId="0">
      <sharedItems containsBlank="1"/>
    </cacheField>
    <cacheField name="Fecha de cierre" numFmtId="0">
      <sharedItems containsNonDate="0" containsDate="1" containsString="0" containsBlank="1" minDate="2025-11-13T00:00:00" maxDate="2026-04-28T00:00:00"/>
    </cacheField>
    <cacheField name="Fecha de Ingreso" numFmtId="0">
      <sharedItems containsNonDate="0" containsDate="1" containsString="0" containsBlank="1" minDate="2025-04-20T00:00:00" maxDate="2026-05-05T00:00:00"/>
    </cacheField>
    <cacheField name="Tipo de Búsqueda" numFmtId="14">
      <sharedItems containsBlank="1"/>
    </cacheField>
    <cacheField name="Fuente de selección " numFmtId="0">
      <sharedItems containsBlank="1"/>
    </cacheField>
    <cacheField name="Nombre del seleccionado/a" numFmtId="0">
      <sharedItems containsBlank="1"/>
    </cacheField>
    <cacheField name="Remuneración acordada" numFmtId="0">
      <sharedItems containsBlank="1" containsMixedTypes="1" containsNumber="1" minValue="2291699.17" maxValue="2291699.17"/>
    </cacheField>
    <cacheField name="CCT" numFmtId="0">
      <sharedItems containsBlank="1" containsMixedTypes="1" containsNumber="1" containsInteger="1" minValue="108" maxValue="414"/>
    </cacheField>
    <cacheField name="Notebook" numFmtId="0">
      <sharedItems containsBlank="1"/>
    </cacheField>
    <cacheField name="Blue" numFmtId="0">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40.334571874999" createdVersion="8" refreshedVersion="8" minRefreshableVersion="3" recordCount="399" xr:uid="{9B8F1A8A-F98A-429E-B6EA-BD8EFD6F3761}">
  <cacheSource type="worksheet">
    <worksheetSource ref="A1:AO400" sheet="BASE"/>
  </cacheSource>
  <cacheFields count="41">
    <cacheField name="N° Vacante" numFmtId="49">
      <sharedItems/>
    </cacheField>
    <cacheField name="Fecha de solicitud" numFmtId="14">
      <sharedItems containsNonDate="0" containsDate="1" containsString="0" containsBlank="1" minDate="2025-01-16T00:00:00" maxDate="2026-04-28T00:00:00"/>
    </cacheField>
    <cacheField name="Días de apertura" numFmtId="1">
      <sharedItems containsMixedTypes="1" containsNumber="1" containsInteger="1" minValue="1" maxValue="105"/>
    </cacheField>
    <cacheField name="Selector" numFmtId="0">
      <sharedItems containsBlank="1"/>
    </cacheField>
    <cacheField name="Estado de aprobación" numFmtId="0">
      <sharedItems containsBlank="1"/>
    </cacheField>
    <cacheField name="¿Aplica para movimiento interno de reasignación?" numFmtId="0">
      <sharedItems containsBlank="1"/>
    </cacheField>
    <cacheField name="Confidencial" numFmtId="0">
      <sharedItems containsBlank="1"/>
    </cacheField>
    <cacheField name="Vacante sujeta a futura desvinculación" numFmtId="0">
      <sharedItems containsBlank="1"/>
    </cacheField>
    <cacheField name="Fecha estimada de desvinculación" numFmtId="0">
      <sharedItems containsDate="1" containsBlank="1" containsMixedTypes="1" minDate="2026-04-19T00:00:00" maxDate="2026-05-19T00:00:00"/>
    </cacheField>
    <cacheField name="Unidad de Negocio" numFmtId="0">
      <sharedItems containsBlank="1" count="11">
        <s v="PREPAGA"/>
        <s v="DROGUERÍA"/>
        <s v="Centros Ambulatorios"/>
        <s v="SANATORIO COLEGIALES"/>
        <s v="CORPO"/>
        <s v="CMV"/>
        <s v="LABBO"/>
        <s v="FARMACIA"/>
        <s v="CMD"/>
        <s v="SERVICIOS DE ADMINISTRACIÓN"/>
        <m/>
      </sharedItems>
    </cacheField>
    <cacheField name="Razon Social" numFmtId="0">
      <sharedItems containsBlank="1"/>
    </cacheField>
    <cacheField name="Sector" numFmtId="0">
      <sharedItems containsBlank="1"/>
    </cacheField>
    <cacheField name="Centro de Costo" numFmtId="0">
      <sharedItems containsBlank="1"/>
    </cacheField>
    <cacheField name="Familia de Puesto" numFmtId="0">
      <sharedItems containsBlank="1" count="13">
        <s v="Comercial, ventas y cobranzas"/>
        <s v="Liderazgo"/>
        <s v="Asistencial/Médicos"/>
        <s v="Administrativo/a"/>
        <s v="Servicios Generales"/>
        <s v="Asistencial/Otros"/>
        <s v="Asistencial/Enfermería"/>
        <s v="Analista"/>
        <s v="Especialista"/>
        <s v="Pasante/Becario"/>
        <s v="Mantenimiento y obras"/>
        <s v="Analista IT"/>
        <m/>
      </sharedItems>
    </cacheField>
    <cacheField name="Puesto " numFmtId="0">
      <sharedItems containsBlank="1"/>
    </cacheField>
    <cacheField name="Líder" numFmtId="0">
      <sharedItems containsBlank="1"/>
    </cacheField>
    <cacheField name="Hiring Manager" numFmtId="0">
      <sharedItems containsBlank="1"/>
    </cacheField>
    <cacheField name="Status general" numFmtId="0">
      <sharedItems containsBlank="1" count="6">
        <s v="Cerrada "/>
        <s v="Cancelada"/>
        <s v="En curso "/>
        <s v="En proceso de Ingreso"/>
        <s v="StandBy"/>
        <m/>
      </sharedItems>
    </cacheField>
    <cacheField name="Status del proceso " numFmtId="0">
      <sharedItems containsBlank="1" count="13">
        <s v="Ingreso "/>
        <s v="Cancelada"/>
        <s v="Entrevista Atracción de Talento"/>
        <s v="Entrevista Hiring Manager"/>
        <s v="Preocupacional "/>
        <s v="StandBy"/>
        <s v="Carta Oferta"/>
        <s v="Assessment Center"/>
        <m/>
        <s v="Ingreso"/>
        <s v="Preselección/Screening "/>
        <s v="Relevamiento de Perfil"/>
        <s v="Publicación/Analizando CVs"/>
      </sharedItems>
    </cacheField>
    <cacheField name="Fecha estimada de ingreso" numFmtId="0">
      <sharedItems containsNonDate="0" containsDate="1" containsString="0" containsBlank="1" minDate="2026-03-19T00:00:00" maxDate="2026-06-16T00:00:00"/>
    </cacheField>
    <cacheField name="Dificultad" numFmtId="0">
      <sharedItems containsBlank="1"/>
    </cacheField>
    <cacheField name="Prioridad" numFmtId="0">
      <sharedItems containsBlank="1"/>
    </cacheField>
    <cacheField name="Tipo de vacante" numFmtId="0">
      <sharedItems containsBlank="1"/>
    </cacheField>
    <cacheField name="Número de Legajo del reemplazo" numFmtId="0">
      <sharedItems containsBlank="1" containsMixedTypes="1" containsNumber="1" containsInteger="1" minValue="5" maxValue="170953"/>
    </cacheField>
    <cacheField name="Nombre de reemplazo " numFmtId="0">
      <sharedItems containsBlank="1"/>
    </cacheField>
    <cacheField name="Motivo de contratación" numFmtId="0">
      <sharedItems containsBlank="1"/>
    </cacheField>
    <cacheField name="Modalidad de contratación" numFmtId="0">
      <sharedItems containsBlank="1"/>
    </cacheField>
    <cacheField name="Justificación de la cobertura" numFmtId="0">
      <sharedItems containsBlank="1" longText="1"/>
    </cacheField>
    <cacheField name="¿Qué ocurre si la vacante no se cubre?" numFmtId="0">
      <sharedItems containsBlank="1" longText="1"/>
    </cacheField>
    <cacheField name="Horario " numFmtId="0">
      <sharedItems containsBlank="1"/>
    </cacheField>
    <cacheField name="Lugar de trabajo " numFmtId="0">
      <sharedItems containsBlank="1"/>
    </cacheField>
    <cacheField name="Fecha de cierre" numFmtId="0">
      <sharedItems containsNonDate="0" containsDate="1" containsString="0" containsBlank="1" minDate="2025-11-13T00:00:00" maxDate="2026-04-28T00:00:00"/>
    </cacheField>
    <cacheField name="Fecha de Ingreso" numFmtId="0">
      <sharedItems containsNonDate="0" containsDate="1" containsString="0" containsBlank="1" minDate="2025-04-20T00:00:00" maxDate="2026-05-05T00:00:00"/>
    </cacheField>
    <cacheField name="Tipo de Búsqueda" numFmtId="14">
      <sharedItems containsBlank="1"/>
    </cacheField>
    <cacheField name="Fuente de selección " numFmtId="0">
      <sharedItems containsBlank="1"/>
    </cacheField>
    <cacheField name="Nombre del seleccionado/a" numFmtId="0">
      <sharedItems containsBlank="1"/>
    </cacheField>
    <cacheField name="Remuneración acordada" numFmtId="0">
      <sharedItems containsBlank="1" containsMixedTypes="1" containsNumber="1" minValue="2291699.17" maxValue="2291699.17"/>
    </cacheField>
    <cacheField name="CCT" numFmtId="0">
      <sharedItems containsBlank="1" containsMixedTypes="1" containsNumber="1" containsInteger="1" minValue="108" maxValue="414"/>
    </cacheField>
    <cacheField name="Notebook" numFmtId="0">
      <sharedItems containsBlank="1"/>
    </cacheField>
    <cacheField name="Blue" numFmtId="0">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s v="00001"/>
    <d v="2025-01-16T00:00:00"/>
    <s v="Cerrada"/>
    <x v="0"/>
    <s v="Aprobada"/>
    <m/>
    <s v="No"/>
    <m/>
    <m/>
    <s v="PREPAGA"/>
    <s v="Cobensil SA"/>
    <s v="Ventas Retail"/>
    <s v="Comercial"/>
    <s v="Comercial, ventas y cobranzas"/>
    <s v="VENDEDOR/A"/>
    <s v="Serafin"/>
    <m/>
    <x v="0"/>
    <x v="0"/>
    <m/>
    <m/>
    <m/>
    <s v="Reemplazo"/>
    <m/>
    <s v="MOYANO ARIANA SOLEDAD (168710)"/>
    <m/>
    <s v="Inderminado "/>
    <m/>
    <m/>
    <s v="Lunes a Viernes de 10 a 18hs"/>
    <s v="Sede Colegiales (Lacroze 3257)"/>
    <d v="2026-02-04T00:00:00"/>
    <d v="2026-02-10T00:00:00"/>
    <m/>
    <m/>
    <s v="BANEGAS NEMBHARD, MARYANA ALEXANDRA"/>
    <s v="$1.271.329,36 bruto /  $1.036.688,00 neto"/>
    <s v="130/75"/>
    <s v="No"/>
    <s v="No"/>
    <m/>
  </r>
  <r>
    <s v="00002"/>
    <d v="2025-01-21T00:00:00"/>
    <s v="Cerrada"/>
    <x v="0"/>
    <s v="Aprobada"/>
    <m/>
    <m/>
    <m/>
    <m/>
    <s v="PREPAGA"/>
    <m/>
    <s v="Ventas Retail"/>
    <s v="Comercial"/>
    <s v="Comercial, ventas y cobranzas"/>
    <s v="VENDEDOR/A"/>
    <s v="Serafin"/>
    <m/>
    <x v="0"/>
    <x v="0"/>
    <m/>
    <m/>
    <m/>
    <s v="Apertura de puesto"/>
    <m/>
    <m/>
    <m/>
    <s v="Inderminado "/>
    <m/>
    <m/>
    <m/>
    <m/>
    <d v="2026-02-11T00:00:00"/>
    <d v="2026-02-18T00:00:00"/>
    <m/>
    <m/>
    <s v="Matias Yanez"/>
    <m/>
    <m/>
    <m/>
    <m/>
    <m/>
  </r>
  <r>
    <s v="00003"/>
    <d v="2025-01-21T00:00:00"/>
    <s v="Cerrada"/>
    <x v="0"/>
    <s v="Aprobada"/>
    <m/>
    <m/>
    <m/>
    <m/>
    <s v="PREPAGA"/>
    <m/>
    <s v="Ventas Retail"/>
    <s v="Comercial"/>
    <s v="Comercial, ventas y cobranzas"/>
    <s v="VENDEDOR/A"/>
    <s v="Serafin"/>
    <m/>
    <x v="0"/>
    <x v="0"/>
    <m/>
    <m/>
    <m/>
    <s v="Apertura de puesto"/>
    <m/>
    <m/>
    <m/>
    <s v="Inderminado "/>
    <m/>
    <m/>
    <m/>
    <m/>
    <d v="2026-02-11T00:00:00"/>
    <d v="2026-02-18T00:00:00"/>
    <m/>
    <m/>
    <s v="Perla Carvajal "/>
    <m/>
    <m/>
    <m/>
    <m/>
    <m/>
  </r>
  <r>
    <s v="00004"/>
    <d v="2025-01-21T00:00:00"/>
    <s v="Cerrada"/>
    <x v="0"/>
    <s v="Aprobada"/>
    <m/>
    <s v="No"/>
    <m/>
    <m/>
    <s v="PREPAGA"/>
    <s v="Cobensil SA"/>
    <s v="Ventas Retail"/>
    <s v="Comercial"/>
    <s v="Comercial, ventas y cobranzas"/>
    <s v="VENDEDOR/A"/>
    <s v="Serafin"/>
    <s v="Sergio Couceiro"/>
    <x v="0"/>
    <x v="0"/>
    <d v="2026-03-19T00:00:00"/>
    <s v="Baja"/>
    <s v="Media"/>
    <s v="Apertura de puesto"/>
    <m/>
    <m/>
    <m/>
    <s v="Inderminado "/>
    <m/>
    <m/>
    <s v="Lunes a Viernes de 10 a 18 hs"/>
    <s v="Cober - Vicente Lopez"/>
    <d v="2026-03-13T00:00:00"/>
    <d v="2026-03-19T00:00:00"/>
    <s v="Externa"/>
    <s v="Consultora"/>
    <s v=" Lady Gomes "/>
    <s v=" $1.271.329,36 Bruto"/>
    <s v="130/75"/>
    <s v="No"/>
    <s v="No"/>
    <m/>
  </r>
  <r>
    <s v="00005"/>
    <d v="2025-01-21T00:00:00"/>
    <s v="Cerrada"/>
    <x v="0"/>
    <s v="Aprobada"/>
    <m/>
    <s v="No"/>
    <m/>
    <m/>
    <s v="PREPAGA"/>
    <s v="Cobensil SA"/>
    <s v="Ventas Retail"/>
    <s v="Comercial"/>
    <s v="Comercial, ventas y cobranzas"/>
    <s v="VENDEDOR/A"/>
    <s v="Serafin"/>
    <s v="Sergio Couceiro"/>
    <x v="0"/>
    <x v="0"/>
    <d v="2026-03-19T00:00:00"/>
    <s v="Baja"/>
    <s v="Media"/>
    <s v="Apertura de puesto"/>
    <m/>
    <m/>
    <m/>
    <s v="Inderminado "/>
    <m/>
    <m/>
    <s v="Lunes a Viernes de 10 a 18 hs"/>
    <s v="Cober - Vicente Lopez"/>
    <d v="2026-03-13T00:00:00"/>
    <d v="2026-03-19T00:00:00"/>
    <s v="Externa"/>
    <s v="Consultora"/>
    <s v=" Joel Dree "/>
    <s v=" $1.271.329,36 Bruto"/>
    <s v="130/75"/>
    <s v="No"/>
    <s v="No"/>
    <m/>
  </r>
  <r>
    <s v="00006"/>
    <d v="2025-01-21T00:00:00"/>
    <s v="Cerrada"/>
    <x v="0"/>
    <s v="Aprobada"/>
    <m/>
    <s v="No"/>
    <m/>
    <m/>
    <s v="PREPAGA"/>
    <s v="Cobensil SA"/>
    <s v="Ventas Retail"/>
    <s v="Comercial"/>
    <s v="Comercial, ventas y cobranzas"/>
    <s v="VENDEDOR/A"/>
    <s v="Serafin"/>
    <s v="Sergio Couceiro"/>
    <x v="0"/>
    <x v="0"/>
    <d v="2026-03-19T00:00:00"/>
    <s v="Baja"/>
    <s v="Media"/>
    <s v="Apertura de puesto"/>
    <m/>
    <m/>
    <m/>
    <s v="Inderminado "/>
    <m/>
    <m/>
    <s v="Lunes a Viernes de 10 a 18 hs"/>
    <s v="Cober - Vicente Lopez"/>
    <d v="2026-03-13T00:00:00"/>
    <d v="2026-03-19T00:00:00"/>
    <s v="Externa"/>
    <s v="Consultora"/>
    <s v=" Romina Rojas "/>
    <s v=" $1.271.329,36 Bruto"/>
    <s v="130/75"/>
    <s v="No"/>
    <s v="No"/>
    <m/>
  </r>
  <r>
    <s v="00007"/>
    <d v="2025-01-21T00:00:00"/>
    <s v="Cerrada"/>
    <x v="0"/>
    <s v="Aprobada"/>
    <m/>
    <s v="No"/>
    <m/>
    <m/>
    <s v="PREPAGA"/>
    <s v="Cobensil SA"/>
    <s v="Ventas Retail"/>
    <s v="Comercial"/>
    <s v="Comercial, ventas y cobranzas"/>
    <s v="VENDEDOR/A"/>
    <s v="Serafin"/>
    <s v=" Patricia Mozota"/>
    <x v="0"/>
    <x v="0"/>
    <d v="2026-03-19T00:00:00"/>
    <s v="Baja"/>
    <s v="Media"/>
    <s v="Apertura de puesto"/>
    <m/>
    <m/>
    <m/>
    <s v="Inderminado "/>
    <m/>
    <m/>
    <s v="Lunes a Viernes de 10 a 18 hs"/>
    <s v="Cober - Lacroze"/>
    <d v="2026-03-13T00:00:00"/>
    <d v="2026-03-19T00:00:00"/>
    <s v="Externa"/>
    <s v="Consultora"/>
    <s v=" Carolina Ledesma "/>
    <s v=" $1.271.329,36 Bruto"/>
    <s v="130/75"/>
    <s v="No"/>
    <s v="No"/>
    <m/>
  </r>
  <r>
    <s v="00008"/>
    <d v="2025-01-21T00:00:00"/>
    <s v="Cerrada"/>
    <x v="0"/>
    <s v="Aprobada"/>
    <m/>
    <s v="No"/>
    <m/>
    <m/>
    <s v="PREPAGA"/>
    <s v="Cobensil SA"/>
    <s v="Ventas Retail"/>
    <s v="Comercial"/>
    <s v="Comercial, ventas y cobranzas"/>
    <s v="VENDEDOR/A"/>
    <s v="Serafin"/>
    <s v=" Patricia Mozota"/>
    <x v="0"/>
    <x v="0"/>
    <d v="2026-03-19T00:00:00"/>
    <s v="Baja"/>
    <m/>
    <s v="Apertura de puesto"/>
    <m/>
    <m/>
    <m/>
    <s v="Inderminado "/>
    <m/>
    <m/>
    <s v="Lunes a Viernes de 10 a 18 hs"/>
    <s v="Cober - Lacroze"/>
    <d v="2026-03-13T00:00:00"/>
    <d v="2026-03-19T00:00:00"/>
    <s v="Externa"/>
    <s v="Consultora"/>
    <s v=" Julieta Gutcovsky "/>
    <s v=" $1.271.329,36 Bruto"/>
    <s v="130/75"/>
    <s v="No"/>
    <s v="No"/>
    <m/>
  </r>
  <r>
    <s v="00009"/>
    <d v="2025-01-21T00:00:00"/>
    <s v="Cerrada"/>
    <x v="0"/>
    <s v="Aprobada"/>
    <m/>
    <s v="No"/>
    <m/>
    <m/>
    <s v="PREPAGA"/>
    <s v="Cobensil SA"/>
    <s v="Ventas Retail"/>
    <s v="Comercial"/>
    <s v="Comercial, ventas y cobranzas"/>
    <s v="VENDEDOR/A"/>
    <s v="Serafin"/>
    <s v=" Patricia Mozota"/>
    <x v="0"/>
    <x v="0"/>
    <d v="2026-03-19T00:00:00"/>
    <s v="Baja"/>
    <m/>
    <s v="Apertura de puesto"/>
    <m/>
    <m/>
    <m/>
    <s v="Inderminado "/>
    <m/>
    <m/>
    <s v="Lunes a Viernes de 10 a 18 hs"/>
    <s v="Cober - Lacroze"/>
    <d v="2026-03-13T00:00:00"/>
    <d v="2026-03-19T00:00:00"/>
    <s v="Externa"/>
    <s v="Consultora"/>
    <s v=" Noelia Quintana "/>
    <s v=" $1.271.329,36 Bruto"/>
    <s v="130/75"/>
    <s v="No"/>
    <s v="No"/>
    <m/>
  </r>
  <r>
    <s v="00010"/>
    <d v="2025-01-21T00:00:00"/>
    <s v="Cerrada"/>
    <x v="0"/>
    <s v="Aprobada"/>
    <m/>
    <m/>
    <m/>
    <m/>
    <s v="PREPAGA"/>
    <s v="Bristol Medicine SRL"/>
    <s v="Ventas Retail"/>
    <s v="Comercial"/>
    <s v="Comercial, ventas y cobranzas"/>
    <s v="VENDEDOR/A"/>
    <s v="Serafin"/>
    <s v="Gabriela Mira"/>
    <x v="0"/>
    <x v="0"/>
    <d v="2026-03-19T00:00:00"/>
    <s v="Baja"/>
    <m/>
    <s v="Apertura de puesto"/>
    <m/>
    <m/>
    <m/>
    <s v="Inderminado "/>
    <m/>
    <m/>
    <s v="Lunes a Viernes de 10 a 17hs"/>
    <s v="Bristol - Céspedes"/>
    <d v="2026-03-16T00:00:00"/>
    <d v="2026-03-19T00:00:00"/>
    <s v="Externa"/>
    <s v="Consultora"/>
    <s v=" Ryan Hutchinson "/>
    <s v=" $961.576,34 Bruto"/>
    <s v="108/75"/>
    <s v="No"/>
    <s v="No"/>
    <m/>
  </r>
  <r>
    <s v="00011"/>
    <d v="2025-01-21T00:00:00"/>
    <s v="Cerrada"/>
    <x v="0"/>
    <s v="Aprobada"/>
    <m/>
    <m/>
    <m/>
    <m/>
    <s v="PREPAGA"/>
    <s v="Bristol Medicine SRL"/>
    <s v="Ventas Retail"/>
    <s v="Comercial"/>
    <s v="Comercial, ventas y cobranzas"/>
    <s v="VENDEDOR/A"/>
    <s v="Serafin"/>
    <s v="Gabriela Mira"/>
    <x v="0"/>
    <x v="0"/>
    <d v="2026-03-19T00:00:00"/>
    <s v="Baja"/>
    <m/>
    <s v="Apertura de puesto"/>
    <m/>
    <m/>
    <m/>
    <s v="Inderminado "/>
    <m/>
    <m/>
    <s v="Lunes a Viernes de 10 a 17hs"/>
    <s v="Bristol - Céspedes"/>
    <d v="2026-03-16T00:00:00"/>
    <d v="2026-03-19T00:00:00"/>
    <s v="Externa"/>
    <s v="Consultora"/>
    <s v=" Katia Lambare "/>
    <s v=" $961.576,34 Bruto"/>
    <s v="108/75"/>
    <s v="No"/>
    <s v="No"/>
    <m/>
  </r>
  <r>
    <s v="00012"/>
    <d v="2025-01-21T00:00:00"/>
    <s v="Cerrada"/>
    <x v="0"/>
    <s v="Aprobada"/>
    <m/>
    <m/>
    <m/>
    <m/>
    <s v="PREPAGA"/>
    <s v="Bristol Medicine SRL"/>
    <s v="Ventas Retail"/>
    <s v="Comercial"/>
    <s v="Comercial, ventas y cobranzas"/>
    <s v="VENDEDOR/A"/>
    <s v="Serafin"/>
    <s v="Vanesa Serafin "/>
    <x v="0"/>
    <x v="0"/>
    <d v="2026-03-19T00:00:00"/>
    <s v="Baja"/>
    <m/>
    <s v="Apertura de puesto"/>
    <m/>
    <m/>
    <m/>
    <s v="Inderminado "/>
    <m/>
    <m/>
    <s v="Lunes a Viernes de 10 a 17hs"/>
    <s v="Bristol - Céspedes"/>
    <d v="2026-03-16T00:00:00"/>
    <d v="2026-03-19T00:00:00"/>
    <s v="Externa"/>
    <s v="Consultora"/>
    <s v=" Brian Gryncwejg "/>
    <s v=" $961.576,34 Bruto"/>
    <s v="108/75"/>
    <s v="No"/>
    <s v="No"/>
    <m/>
  </r>
  <r>
    <s v="00013"/>
    <d v="2025-06-10T00:00:00"/>
    <s v="Cerrada"/>
    <x v="1"/>
    <s v="Aprobada"/>
    <m/>
    <m/>
    <m/>
    <m/>
    <s v="DROGUERÍA"/>
    <s v="Reinsal"/>
    <s v="Ventas"/>
    <s v="Comercial"/>
    <s v="Liderazgo"/>
    <s v="Jefe de Ventas"/>
    <s v="Serpone"/>
    <m/>
    <x v="0"/>
    <x v="0"/>
    <m/>
    <m/>
    <m/>
    <s v="Reemplazo"/>
    <m/>
    <s v="Gabriel De Angelis"/>
    <m/>
    <s v="Inderminado "/>
    <m/>
    <m/>
    <s v="L a V de 9h a 18h"/>
    <s v="La Musa"/>
    <m/>
    <d v="2026-02-23T00:00:00"/>
    <m/>
    <m/>
    <s v="Juan Pablo Ratuszniak"/>
    <s v="1800000 Neto | Bruto 2.168.675"/>
    <s v="FUCO"/>
    <s v="Ok"/>
    <s v="SI"/>
    <s v="14/11 se reclama agenda a Damián por entrevistas, 20/11 Damián conoce 2 candidatos / 25-11 Damian selecciona un candidato. El candidato se baja por mejora salarial en su trabajo. Se baja del proceso. Reinicia la busqueda /Nuestra propuesta 2 millones en mano + comisiones."/>
  </r>
  <r>
    <s v="00014"/>
    <d v="2025-08-28T00:00:00"/>
    <s v="Cerrada"/>
    <x v="1"/>
    <s v="Aprobada"/>
    <m/>
    <m/>
    <m/>
    <m/>
    <s v="PREPAGA"/>
    <s v="Cobensil"/>
    <s v="Cobranzas"/>
    <s v="Facturación y Cobranzas"/>
    <s v="Liderazgo"/>
    <s v="Supervisor/a de facturación y cobranzas"/>
    <s v="Rodríguez"/>
    <m/>
    <x v="0"/>
    <x v="0"/>
    <m/>
    <m/>
    <m/>
    <s v="Apertura de puesto"/>
    <m/>
    <m/>
    <m/>
    <s v="Inderminado "/>
    <m/>
    <m/>
    <s v="L a V de 09h a 18h"/>
    <s v="Ravignani"/>
    <d v="2025-12-16T00:00:00"/>
    <d v="2026-01-02T00:00:00"/>
    <m/>
    <m/>
    <s v="Paula García"/>
    <s v="1.800.000$ netos"/>
    <s v="FUCO"/>
    <m/>
    <m/>
    <s v="25/11/2025 se presenta una terna de 3 candidatos a Florencia Rodriguez, 05/12 conoció a Paula Garcia, 09/12 fue derivada a psico y preo"/>
  </r>
  <r>
    <s v="00015"/>
    <d v="2025-09-16T00:00:00"/>
    <s v="Cerrada"/>
    <x v="1"/>
    <s v="Cancelada"/>
    <m/>
    <m/>
    <m/>
    <m/>
    <s v="Centros Ambulatorios"/>
    <m/>
    <s v="Mantenimiento"/>
    <s v="Servicios de Apoyo"/>
    <s v="Liderazgo"/>
    <s v="Jefe/a de Mantenimiento"/>
    <s v="Porretti"/>
    <m/>
    <x v="1"/>
    <x v="1"/>
    <m/>
    <s v="Alta"/>
    <s v="Baja "/>
    <s v="Apertura de puesto"/>
    <m/>
    <m/>
    <m/>
    <s v="Inderminado "/>
    <m/>
    <m/>
    <s v="Lunes a Viernes 9 a 18 hs"/>
    <m/>
    <m/>
    <m/>
    <m/>
    <m/>
    <m/>
    <s v="$ 3.253.012,05 bruto / $ 2.700.000 neto"/>
    <s v="FUCO"/>
    <m/>
    <m/>
    <s v="Nicolas Ruiz no apto Labo / 1 candidato en curso OK - banda 3 k brutos . Se presentará dos candidatos que no tienen formación requerida para contemplarlos en el análisis "/>
  </r>
  <r>
    <s v="00016"/>
    <d v="2025-10-01T00:00:00"/>
    <s v="Cerrada"/>
    <x v="2"/>
    <s v="Aprobada"/>
    <m/>
    <m/>
    <m/>
    <m/>
    <s v="SANATORIO COLEGIALES"/>
    <s v="CIRENDSA"/>
    <s v="Traumatología"/>
    <s v="Guardia"/>
    <s v="Asistencial/Médicos"/>
    <s v="MEDICO/A"/>
    <s v="Faiman"/>
    <m/>
    <x v="0"/>
    <x v="0"/>
    <m/>
    <m/>
    <m/>
    <s v="Reemplazo"/>
    <m/>
    <m/>
    <m/>
    <s v="Plazo Fijo"/>
    <m/>
    <m/>
    <s v="MARTES 8 A 20 HS"/>
    <s v="SANATORIO"/>
    <d v="2025-11-13T00:00:00"/>
    <d v="2026-01-06T00:00:00"/>
    <m/>
    <m/>
    <s v="SAMMY OSPINA"/>
    <s v="$977.367,60 bruto / $796.554,59 neto"/>
    <s v="AMAP"/>
    <s v="No"/>
    <m/>
    <s v="M8-20 - Esperando certificado especialista // 18-12 recibe el certificado de especialdiad // 22-12 contacto con Faiman para definir ingreso // 26-12 confirma su ingreso"/>
  </r>
  <r>
    <s v="00017"/>
    <d v="2025-10-13T00:00:00"/>
    <s v="Cerrada"/>
    <x v="1"/>
    <s v="Aprobada"/>
    <m/>
    <m/>
    <m/>
    <m/>
    <s v="SANATORIO COLEGIALES"/>
    <m/>
    <s v="Comercial "/>
    <s v="Administración y Finanzas"/>
    <s v="Liderazgo"/>
    <s v="Responsable de Ventas Institucionales"/>
    <s v="Poeta"/>
    <m/>
    <x v="0"/>
    <x v="0"/>
    <m/>
    <m/>
    <m/>
    <s v="Reemplazo"/>
    <m/>
    <s v="Leandro Gómez"/>
    <m/>
    <s v="Inderminado "/>
    <m/>
    <m/>
    <m/>
    <m/>
    <m/>
    <d v="2026-01-05T00:00:00"/>
    <m/>
    <m/>
    <s v="FLorencia Fernandez ( Promoción)"/>
    <m/>
    <m/>
    <m/>
    <m/>
    <s v="19/11 psicotecnico Florencia Fernández actual solaboradora del área / Buscar reemplazo: se presenta 25/11"/>
  </r>
  <r>
    <s v="00018"/>
    <d v="2025-10-15T00:00:00"/>
    <s v="Cerrada"/>
    <x v="0"/>
    <s v="Aprobada"/>
    <m/>
    <m/>
    <m/>
    <m/>
    <s v="SANATORIO COLEGIALES"/>
    <s v="Cirenda"/>
    <s v="Procesos Retributivos"/>
    <s v="Administración y Finanzas"/>
    <s v="Administrativo/a"/>
    <s v="FACTURISTA"/>
    <s v="Alvarez"/>
    <m/>
    <x v="0"/>
    <x v="0"/>
    <m/>
    <m/>
    <m/>
    <s v="Reemplazo"/>
    <m/>
    <m/>
    <m/>
    <s v="Eventual "/>
    <m/>
    <m/>
    <s v="Lunes a Viernes de 9 a 18hs"/>
    <s v="SANATORIO"/>
    <d v="2026-01-05T00:00:00"/>
    <d v="2026-01-12T00:00:00"/>
    <m/>
    <m/>
    <s v="Anabella Belen Pantano"/>
    <s v="$1.207.568,30  Bruto / $1.008.912,50 neto"/>
    <n v="122"/>
    <s v="No"/>
    <s v="No"/>
    <s v="Débitos"/>
  </r>
  <r>
    <s v="00019"/>
    <d v="2025-10-27T00:00:00"/>
    <s v="Cerrada"/>
    <x v="0"/>
    <s v="Aprobada"/>
    <m/>
    <m/>
    <m/>
    <m/>
    <s v="CORPO"/>
    <s v="Desarollos en salud"/>
    <s v="Comercial "/>
    <s v="Administración y Finanzas"/>
    <s v="Administrativo/a"/>
    <s v="Administrativo/a comercial"/>
    <s v="Poeta"/>
    <m/>
    <x v="0"/>
    <x v="0"/>
    <m/>
    <m/>
    <m/>
    <s v="Reemplazo"/>
    <m/>
    <s v="Florencia Anahi Fernandez (157891)"/>
    <m/>
    <s v="Plazo Fijo"/>
    <m/>
    <m/>
    <s v="Lunes a Viernes de 9 a 18hs"/>
    <s v="La Musa y Sanatorio"/>
    <d v="2025-12-30T00:00:00"/>
    <d v="2026-01-12T00:00:00"/>
    <m/>
    <m/>
    <s v="Yamila Genaisir"/>
    <s v="$1.584.578,31 bruto / $1.315.200,00 Neto"/>
    <s v="FUCO"/>
    <s v="Si"/>
    <s v="No"/>
    <s v="Puesto: Administrativa de presupuestos. Reemplaza a Florencia por ascenso de esta misma."/>
  </r>
  <r>
    <s v="00020"/>
    <d v="2025-10-27T00:00:00"/>
    <s v="Cerrada"/>
    <x v="0"/>
    <s v="Aprobada"/>
    <m/>
    <m/>
    <m/>
    <m/>
    <s v="CMV"/>
    <s v="CMV"/>
    <s v="Administración y Finanzas"/>
    <s v="Administración y Finanzas"/>
    <s v="Administrativo/a"/>
    <s v="Administrativo/a Contable"/>
    <s v="Rea"/>
    <m/>
    <x v="0"/>
    <x v="0"/>
    <m/>
    <m/>
    <m/>
    <s v="Reemplazo"/>
    <m/>
    <s v="Agudelo"/>
    <m/>
    <s v="Inderminado "/>
    <m/>
    <m/>
    <s v="Lunes a Viernes de 9 a 18hs"/>
    <s v="CMV"/>
    <d v="2026-01-27T00:00:00"/>
    <d v="2026-02-03T00:00:00"/>
    <m/>
    <m/>
    <s v="Melanie Laffon"/>
    <s v="$1.300.000 neto"/>
    <s v="FUCO"/>
    <s v="No"/>
    <s v="No"/>
    <s v="20/11 - Eugenia conoce un candidato, el candidato cancela entrevista, 27/11 - Eugenia en conjunto con Rrhh conocera a 2 candidatos. 2 candidatas en preoc. Iba a ingresar el dia 6/1/25 una candidata pero no se presento. Ese mismo dia se retoma busqueda de perfiles. Se avanza con Melanie Laffon"/>
  </r>
  <r>
    <s v="00021"/>
    <d v="2025-11-01T00:00:00"/>
    <s v="Cerrada"/>
    <x v="2"/>
    <s v="Aprobada"/>
    <m/>
    <m/>
    <m/>
    <m/>
    <s v="SANATORIO COLEGIALES"/>
    <s v="CIRENDSA"/>
    <s v="Hotelería"/>
    <s v="Internación"/>
    <s v="Servicios Generales"/>
    <s v="MUCAMO/A"/>
    <s v="Valeria Dodero"/>
    <m/>
    <x v="0"/>
    <x v="0"/>
    <m/>
    <m/>
    <m/>
    <s v="Reemplazo"/>
    <m/>
    <s v="Libramento T"/>
    <m/>
    <s v="Eventual "/>
    <m/>
    <m/>
    <s v="14-22 HS"/>
    <s v="SANATORIO"/>
    <d v="2025-12-30T00:00:00"/>
    <d v="2026-01-06T00:00:00"/>
    <m/>
    <m/>
    <s v="LEONOR ORELLANA"/>
    <s v="$1.000.154,62  bruto /  $830.004,50 NETO"/>
    <s v="122/75"/>
    <s v="No"/>
    <m/>
    <s v="18-12 8 perfiles en preoc / 30-12 apto"/>
  </r>
  <r>
    <s v="00022"/>
    <d v="2025-11-01T00:00:00"/>
    <s v="Cerrada"/>
    <x v="2"/>
    <s v="Aprobada"/>
    <m/>
    <m/>
    <m/>
    <m/>
    <s v="SANATORIO COLEGIALES"/>
    <s v="CIRENDSA"/>
    <s v="Kinesiología"/>
    <s v="Terapia Intensiva"/>
    <s v="Asistencial/Otros"/>
    <s v="KINESIOLOGO/A"/>
    <s v="Laredo"/>
    <m/>
    <x v="0"/>
    <x v="0"/>
    <m/>
    <m/>
    <m/>
    <s v="Reemplazo"/>
    <m/>
    <s v="Menchon J"/>
    <m/>
    <s v="Plazo Fijo"/>
    <m/>
    <m/>
    <s v="Lunes a Viernes 14 a 20 hs, 1 Sábado y Domingo al mes 8 a 20 hs. Feriado rotativo"/>
    <s v="SANATORIO"/>
    <d v="2025-12-24T00:00:00"/>
    <d v="2026-01-06T00:00:00"/>
    <m/>
    <m/>
    <s v="ARACELI SARMIENTO"/>
    <s v="$1.962.564,65 bruto / $1.628.956,00 neto"/>
    <s v="122/75"/>
    <s v="No"/>
    <m/>
    <s v="12/11 Marcos T. - 13/11 18/11 Cvs no avanzan - 28/11 entrevista Lucas M decide no avanzar - 4/12 Patricio M no asiste // 12-12 entrevista Araceli / 18-12 Araceli en preo"/>
  </r>
  <r>
    <s v="00023"/>
    <d v="2025-11-01T00:00:00"/>
    <s v="Cerrada"/>
    <x v="2"/>
    <s v="Aprobada"/>
    <m/>
    <m/>
    <m/>
    <m/>
    <s v="SANATORIO COLEGIALES"/>
    <s v="CIRENDSA"/>
    <s v="Enfermeria"/>
    <s v="Terapia Intensiva"/>
    <s v="Asistencial/Enfermería"/>
    <s v="Enfermero/a de Terapia Intensiva"/>
    <s v="Alvez"/>
    <m/>
    <x v="0"/>
    <x v="0"/>
    <m/>
    <m/>
    <m/>
    <s v="Reemplazo"/>
    <m/>
    <s v=" Camino C "/>
    <m/>
    <s v="Eventual "/>
    <m/>
    <m/>
    <s v="22 A 6 HS"/>
    <s v="SANATORIO"/>
    <d v="2026-01-27T00:00:00"/>
    <d v="2026-02-02T00:00:00"/>
    <m/>
    <m/>
    <s v="STEPHANIE VERA                "/>
    <s v="$1.554.520,85  bruto /       $1.295.707,00 neto"/>
    <s v="122/75"/>
    <s v="No"/>
    <m/>
    <s v="11/11 entrevista. Perfiles sólo de CM. 20/11 entrevista. No gustaron los perfiles UTI/UCO - 03/12 entrevista. Ninguno con experiencia en UTI/UCO asistió. Agendando nueva entrevista / 6 candidatos en preocupacional "/>
  </r>
  <r>
    <s v="00024"/>
    <d v="2025-11-01T00:00:00"/>
    <s v="Cerrada"/>
    <x v="2"/>
    <s v="Aprobada"/>
    <m/>
    <m/>
    <m/>
    <m/>
    <s v="SANATORIO COLEGIALES"/>
    <s v="CIRENDSA"/>
    <s v="Enfermeria"/>
    <s v="Terapia Intensiva"/>
    <s v="Asistencial/Enfermería"/>
    <s v="Enfermero/a de Terapia Intensiva"/>
    <s v="Alvez"/>
    <m/>
    <x v="0"/>
    <x v="0"/>
    <m/>
    <m/>
    <m/>
    <s v="Reemplazo"/>
    <m/>
    <s v=" Ibarra Gilda"/>
    <m/>
    <s v="Eventual "/>
    <m/>
    <m/>
    <s v="22 A 6 HS"/>
    <s v="SANATORIO"/>
    <d v="2026-01-27T00:00:00"/>
    <d v="2026-02-02T00:00:00"/>
    <m/>
    <m/>
    <s v="MARIA GONZALEZ"/>
    <s v="$1.554.520,85  bruto /       $1.295.707,00 neto"/>
    <s v="122/75"/>
    <s v="No"/>
    <m/>
    <s v="11/11 entrevista. Perfiles sólo de CM. 20/11 entrevista. No gustaron los perfiles UTI/UCO - 03/12 entrevista. Ninguno con experiencia en UTI/UCO asistió. Agendando nueva entrevista / 6 candidatos en preocupacional "/>
  </r>
  <r>
    <s v="00025"/>
    <d v="2025-11-01T00:00:00"/>
    <s v="Cerrada"/>
    <x v="3"/>
    <s v="Aprobada"/>
    <m/>
    <m/>
    <m/>
    <m/>
    <s v="CORPO"/>
    <s v="Cober"/>
    <s v="Gestión de las Personas"/>
    <s v="Administración y Finanzas"/>
    <s v="Analista"/>
    <s v="Liquidador/a de sueldos"/>
    <s v="Ezequiel"/>
    <m/>
    <x v="0"/>
    <x v="0"/>
    <m/>
    <m/>
    <m/>
    <s v="Apertura de puesto"/>
    <m/>
    <m/>
    <m/>
    <s v="Inderminado "/>
    <m/>
    <m/>
    <s v="Lunes a viernes de 8 a 17hs"/>
    <s v="La Musa"/>
    <d v="2026-01-05T00:00:00"/>
    <d v="2026-01-12T00:00:00"/>
    <m/>
    <m/>
    <s v="Eduardo Rodriguez Rosales"/>
    <s v="$2.000.000 neto"/>
    <s v="FUCO"/>
    <s v="Si"/>
    <s v="No"/>
    <s v="se conoció 1 candidato la primera semana de noviembre, se ajusta el perfil no jr, se sube la remuneración 1.7,  se entrevistaron 3 candidatos/ se vuelve a  ajusto el perfil diversidad de convios que venga de consultoras. Se derivo a consultora se ajusta salario a 2 M"/>
  </r>
  <r>
    <s v="00026"/>
    <d v="2025-11-11T00:00:00"/>
    <s v="Cerrada"/>
    <x v="1"/>
    <s v="Aprobada"/>
    <m/>
    <m/>
    <m/>
    <m/>
    <s v="LABBO"/>
    <s v="Argil"/>
    <s v="Laboratorio"/>
    <s v="Operaciones"/>
    <s v="Asistencial/Otros"/>
    <s v="BIOQUIMICO/A"/>
    <s v="Mercedes"/>
    <m/>
    <x v="0"/>
    <x v="0"/>
    <m/>
    <m/>
    <m/>
    <s v="Reemplazo"/>
    <m/>
    <s v="Mercdes Miglianone"/>
    <m/>
    <s v="Plazo Fijo"/>
    <m/>
    <m/>
    <s v="L a V 12h a 18h, Sábado fléxibles"/>
    <s v="Argil"/>
    <d v="2025-12-26T00:00:00"/>
    <d v="2026-01-18T00:00:00"/>
    <m/>
    <m/>
    <s v="Valeria Cánovas"/>
    <s v="2.300.000$ Netos"/>
    <s v="FUCO"/>
    <m/>
    <m/>
    <s v="25/11 entrevistas, 12/12 Avanza a psico y preo Valeria Cánovas"/>
  </r>
  <r>
    <s v="00027"/>
    <d v="2025-11-12T00:00:00"/>
    <s v="Cerrada"/>
    <x v="0"/>
    <s v="Aprobada"/>
    <m/>
    <m/>
    <m/>
    <m/>
    <s v="CORPO"/>
    <m/>
    <s v="Comunicación"/>
    <s v="Marketing"/>
    <s v="Analista"/>
    <s v="Analista de marketing"/>
    <s v="Pachelo"/>
    <m/>
    <x v="0"/>
    <x v="0"/>
    <m/>
    <m/>
    <m/>
    <s v="Reemplazo"/>
    <m/>
    <s v="Camila Osa"/>
    <m/>
    <s v="Inderminado "/>
    <m/>
    <m/>
    <s v="Lunes a Viernes de 9 a 18hs"/>
    <s v="Cramer"/>
    <d v="2026-02-10T00:00:00"/>
    <d v="2026-02-23T00:00:00"/>
    <m/>
    <m/>
    <s v="Candela Fernandez"/>
    <s v="$1.600.000 neto"/>
    <s v="FUCO"/>
    <s v="Si. (Pedido lunes 09/02/26)"/>
    <s v="No"/>
    <s v="18/11 - se envía 6 perfiles a Pachelo, se acuerda esperar el retorno de Lucía de vacaciones para avanzar con entrevista grupal, 4/12 entrevista con 3 candidatos - mencionan que les enviemos mas perfiles para tomar una decision, 9/12 se envian por mail 4 cv's para su analisis y poder coordinar entrevistas. 22/12 Se envia feedback a F.Pachelo de las entrevistas de 3 candidatos que nos gustaron luego de realizar entrevistas. / Pachelo selecciona a una candidata +  Tenemos 1 backup. Se avanza con Guadalupe Diaz Bo el 23-01-26, 28-01-26 se recibe preoc no apto. En paralelo, se envia a entrevista con F.Pachelo candidata de back up el dia 29-01-26. Se avanza con la candidata de back up Candela Fernandez a preoc."/>
  </r>
  <r>
    <s v="00028"/>
    <d v="2025-11-14T00:00:00"/>
    <s v="Cerrada"/>
    <x v="2"/>
    <s v="Aprobada"/>
    <m/>
    <m/>
    <m/>
    <m/>
    <s v="CMV"/>
    <s v="CMV"/>
    <s v="Administración"/>
    <s v="Administración"/>
    <s v="Especialista"/>
    <s v="CONTADOR/A"/>
    <s v="Colalillo"/>
    <m/>
    <x v="0"/>
    <x v="0"/>
    <m/>
    <m/>
    <m/>
    <s v="Reemplazo"/>
    <m/>
    <s v="Eugenia Rea"/>
    <s v="Desvinculación empresa"/>
    <s v="Inderminado "/>
    <m/>
    <m/>
    <s v="Lunes a Viernes de 9 a 18hs"/>
    <s v="La Musa"/>
    <d v="2026-02-27T00:00:00"/>
    <d v="2026-03-03T00:00:00"/>
    <m/>
    <m/>
    <s v="JESICA SEGOVIA"/>
    <s v="$ 3.132.530,12 bruto / $ 2.600.000 neto"/>
    <s v="FUCO"/>
    <s v="Si. (Pedido Viernes 27/2)"/>
    <s v="No"/>
    <s v="14/11 relevamiento perfil claudia / 25/11 lectura de cvs / 4/12 3 entrevistas RRHH / 05/12 perfiles enviados a Claudio / 12/12 Claudio solicita entrevistar - 15 a 19/12 Claudio vacaciones /  Claudio entrvistatará 2 candidatos ,semana del 26/01 - 02/02 preo y psico  / 18/02 - No se generó la vacante "/>
  </r>
  <r>
    <s v="00029"/>
    <d v="2025-11-14T00:00:00"/>
    <s v="Cerrada"/>
    <x v="0"/>
    <s v="Aprobada"/>
    <m/>
    <m/>
    <m/>
    <m/>
    <s v="SANATORIO COLEGIALES"/>
    <s v="Desarollos en salud"/>
    <s v="Sistemas"/>
    <s v="Sistemas"/>
    <s v="Pasante/Becario"/>
    <s v="Pasante"/>
    <s v="Gatica"/>
    <m/>
    <x v="0"/>
    <x v="0"/>
    <m/>
    <m/>
    <m/>
    <s v="Apertura de puesto"/>
    <m/>
    <m/>
    <m/>
    <s v="Inderminado "/>
    <m/>
    <m/>
    <s v="20hs semanales, con horario a coordinar"/>
    <s v="SANATORIO"/>
    <d v="2026-01-05T00:00:00"/>
    <d v="2026-01-19T00:00:00"/>
    <m/>
    <m/>
    <s v="Vicente D’Annunzio"/>
    <s v="$388.330,00 bruto"/>
    <m/>
    <s v="No"/>
    <s v="No"/>
    <m/>
  </r>
  <r>
    <s v="00030"/>
    <d v="2025-11-14T00:00:00"/>
    <s v="Cerrada"/>
    <x v="0"/>
    <s v="Aprobada"/>
    <m/>
    <m/>
    <m/>
    <m/>
    <s v="SANATORIO COLEGIALES"/>
    <m/>
    <s v="Sistemas"/>
    <s v="Servicios de Apoyo"/>
    <s v="Pasante/Becario"/>
    <s v="Pasante"/>
    <s v="Gatica"/>
    <m/>
    <x v="0"/>
    <x v="0"/>
    <m/>
    <m/>
    <m/>
    <s v="Apertura de puesto"/>
    <m/>
    <m/>
    <m/>
    <s v="Inderminado "/>
    <m/>
    <m/>
    <m/>
    <m/>
    <d v="2026-01-05T00:00:00"/>
    <d v="2026-01-19T00:00:00"/>
    <m/>
    <m/>
    <s v="VICENTE D´ANUNZIO"/>
    <m/>
    <m/>
    <m/>
    <m/>
    <s v="4/12 se entrevistan 2 candidatos pero el referente solicita conocer mas candidatos para tomar una decision, 16/12 se conoce un candidato, 18/12 se conoce otro candidato. 22/12 se envia a preoc un candidato"/>
  </r>
  <r>
    <s v="00031"/>
    <d v="2025-11-19T00:00:00"/>
    <s v="Cerrada"/>
    <x v="2"/>
    <s v="Aprobada"/>
    <m/>
    <m/>
    <m/>
    <m/>
    <s v="SANATORIO COLEGIALES"/>
    <s v="CIRENDSA"/>
    <s v="Admisión"/>
    <s v="Consultorios Externos"/>
    <s v="Administrativo/a"/>
    <s v="ADMISIONISTA"/>
    <s v="Gomez"/>
    <m/>
    <x v="0"/>
    <x v="0"/>
    <m/>
    <m/>
    <m/>
    <s v="Apertura de puesto"/>
    <m/>
    <s v="5° admin PB Laboratorio"/>
    <m/>
    <s v="Plazo Fijo"/>
    <m/>
    <m/>
    <s v="Lunes a Viernes 8 a 16 hs. Sabado por medio 7 a 15 hs"/>
    <s v="SANATORIO"/>
    <d v="2026-01-15T00:00:00"/>
    <d v="2026-01-23T00:00:00"/>
    <m/>
    <m/>
    <s v="VALENTINA RAMIREZ"/>
    <s v="$1.164.203,77 bruto /        $976.802,50 neto"/>
    <s v="122/75"/>
    <s v="No"/>
    <m/>
    <s v="05-12 Perfil entrevista ok 08-12 se baja del proceso. 11-12 entrevista. Sin exp real en labo. 17-12 1 perfil ok pero vive en Tigre. Evaluando otras opciones"/>
  </r>
  <r>
    <s v="00032"/>
    <d v="2025-11-24T00:00:00"/>
    <s v="Cerrada"/>
    <x v="0"/>
    <s v="Aprobada"/>
    <m/>
    <m/>
    <m/>
    <m/>
    <s v="SANATORIO COLEGIALES"/>
    <s v="CIRENDSA"/>
    <s v="Operaciones"/>
    <s v="Servicios de Apoyo"/>
    <s v="Servicios Generales"/>
    <s v="PEON"/>
    <s v="Cordoba"/>
    <m/>
    <x v="0"/>
    <x v="0"/>
    <m/>
    <m/>
    <m/>
    <s v="Reemplazo"/>
    <m/>
    <s v="Vacaciones"/>
    <m/>
    <s v="Eventual "/>
    <m/>
    <m/>
    <s v="ROTATIVO entre 6-14 hs/14-22 hs/22-6 hs segun cronograma"/>
    <s v="SANATORIO"/>
    <d v="2026-01-02T00:00:00"/>
    <d v="2026-01-12T00:00:00"/>
    <m/>
    <m/>
    <s v="MAXIMILIANO GUTIERREZ_x000a_NICOLAS MEDINA        _x000a_LIHUEL RODRIGUEZ"/>
    <s v="$1.000.254,62 bruto / $830.085,50 neto"/>
    <s v="122/75"/>
    <s v="No"/>
    <m/>
    <s v="12/12 6 perfiles citados, asisten 4 y 2 pasan a preo 17/12 asiste uno solo - Entrevista 22/12 // 1 PERFIL APTO 30-12"/>
  </r>
  <r>
    <s v="00033"/>
    <d v="2025-11-25T00:00:00"/>
    <s v="Cerrada"/>
    <x v="1"/>
    <s v="Aprobada"/>
    <m/>
    <m/>
    <m/>
    <m/>
    <s v="CORPO"/>
    <s v="Healthnes"/>
    <s v="Gestión del Cambio"/>
    <s v="Administración"/>
    <s v="Analista"/>
    <s v="Analista de Procesos"/>
    <s v="Rodríguez M"/>
    <m/>
    <x v="0"/>
    <x v="0"/>
    <m/>
    <m/>
    <m/>
    <s v="Apertura de puesto"/>
    <m/>
    <m/>
    <m/>
    <s v="Inderminado "/>
    <m/>
    <m/>
    <s v="L a V 09h a 18h"/>
    <s v="Cramer"/>
    <d v="2026-01-13T00:00:00"/>
    <d v="2026-01-19T00:00:00"/>
    <m/>
    <m/>
    <s v="Romina Cecchin"/>
    <s v="2.500.000 $ NETOS"/>
    <s v="FUCO"/>
    <m/>
    <m/>
    <s v="jueves 11/12 María se reune con Emilio para definir quien avanza, 18/12 Hace psico Romina | 12/01 - 1  candidata en preocupacional, fecha de ingreso (probable) - semana 18/01"/>
  </r>
  <r>
    <s v="00034"/>
    <d v="2025-11-25T00:00:00"/>
    <s v="Cerrada"/>
    <x v="2"/>
    <s v="Aprobada"/>
    <m/>
    <m/>
    <m/>
    <m/>
    <s v="FARMACIA"/>
    <s v="NOBEL"/>
    <s v="Administración y Finanzas"/>
    <s v="Farmacia Lamaité"/>
    <s v="Liderazgo"/>
    <s v="Supervisor/a de Farmacia"/>
    <s v="Emilio"/>
    <m/>
    <x v="0"/>
    <x v="0"/>
    <m/>
    <m/>
    <m/>
    <s v="Reemplazo"/>
    <m/>
    <s v="Iván Lara"/>
    <m/>
    <s v="Inderminado "/>
    <m/>
    <m/>
    <s v="48 hs semanales de Lunes a Sabado"/>
    <s v="LAMAITE"/>
    <d v="2026-01-13T00:00:00"/>
    <d v="2026-01-19T00:00:00"/>
    <m/>
    <m/>
    <s v="SERGIO BERNIGAUD"/>
    <s v="$2.000.000 neto"/>
    <s v="FUCO"/>
    <s v="Si"/>
    <m/>
    <s v="4/12 Entrevista - 5/12 entrevista - 13/12 entrevista Cecilia - 16/12 2 entrevistas - 18/12 entrevista Sergio + 1 perfil consultora conocido 19/12 - 23/12 entrevista Sergio"/>
  </r>
  <r>
    <s v="00035"/>
    <d v="2025-11-25T00:00:00"/>
    <s v="Cerrada"/>
    <x v="3"/>
    <s v="Aprobada"/>
    <m/>
    <m/>
    <m/>
    <m/>
    <s v="CORPO"/>
    <s v="Healtnes"/>
    <s v="Contact Center"/>
    <s v="Servicios de Apoyo"/>
    <s v="Liderazgo"/>
    <s v="Coordinador/a de Contac Center"/>
    <s v="Nahir"/>
    <m/>
    <x v="0"/>
    <x v="0"/>
    <m/>
    <m/>
    <m/>
    <s v="Reemplazo"/>
    <m/>
    <s v="Agostina Zowkoski"/>
    <m/>
    <s v="Inderminado "/>
    <m/>
    <m/>
    <s v="Lunes a Viernes de 8 a 5hs"/>
    <s v="Maure"/>
    <d v="2026-01-06T00:00:00"/>
    <d v="2026-01-19T00:00:00"/>
    <m/>
    <m/>
    <s v="Agustina Campos"/>
    <s v="$2200000 neto"/>
    <s v="FUCO"/>
    <s v="Si"/>
    <s v="No"/>
    <s v="Se envió 12-12 2 perfiles para entrevista técnica, se entrevisto 17-12 Agustina Campos, pasa a psico el 19-12, se suien evalaundo candidatos"/>
  </r>
  <r>
    <s v="00036"/>
    <d v="2025-11-26T00:00:00"/>
    <s v="Cerrada"/>
    <x v="2"/>
    <s v="Aprobada"/>
    <m/>
    <m/>
    <m/>
    <m/>
    <s v="SANATORIO COLEGIALES"/>
    <m/>
    <s v="Enfermeria"/>
    <s v="Internación"/>
    <s v="Asistencial/Enfermería"/>
    <s v="Enfermero/a de Quimio"/>
    <s v="Alvez"/>
    <m/>
    <x v="0"/>
    <x v="0"/>
    <m/>
    <m/>
    <m/>
    <s v="Reemplazo"/>
    <m/>
    <s v="Mazars "/>
    <m/>
    <s v="Inderminado "/>
    <m/>
    <m/>
    <m/>
    <m/>
    <m/>
    <d v="2026-02-23T00:00:00"/>
    <m/>
    <m/>
    <s v="YAEL "/>
    <m/>
    <m/>
    <m/>
    <m/>
    <s v="L-V 12 a 18h / Pase interno de Piñeiro Y."/>
  </r>
  <r>
    <s v="00037"/>
    <d v="2025-11-30T00:00:00"/>
    <s v="Cerrada"/>
    <x v="2"/>
    <s v="Aprobada"/>
    <m/>
    <m/>
    <m/>
    <m/>
    <s v="SANATORIO COLEGIALES"/>
    <s v="CIRENDSA"/>
    <s v="Cirugía"/>
    <s v="Quirófano"/>
    <s v="Asistencial/Otros"/>
    <s v="INSTRUMENTADOR/A"/>
    <s v="Di Franco"/>
    <m/>
    <x v="0"/>
    <x v="0"/>
    <m/>
    <m/>
    <m/>
    <s v="Reemplazo"/>
    <m/>
    <s v="Otero R"/>
    <m/>
    <s v="Plazo Fijo"/>
    <m/>
    <m/>
    <s v="Lunes a Sabados 14 a 22 hs. Feriado rotativo"/>
    <s v="SANATORIO"/>
    <d v="2026-01-05T00:00:00"/>
    <d v="2026-01-19T00:00:00"/>
    <m/>
    <m/>
    <s v="AYELEN CARRUBBA"/>
    <s v="$1.478.071,38  bruto /       $1.230.851,50 neto"/>
    <s v="122/75"/>
    <s v="No"/>
    <m/>
    <s v="18-12 entrevistas 19-12 Entrevista Ale. Agendando preocupacional 23-12"/>
  </r>
  <r>
    <s v="00038"/>
    <d v="2025-12-03T00:00:00"/>
    <s v="Cerrada"/>
    <x v="3"/>
    <s v="Aprobada"/>
    <m/>
    <m/>
    <m/>
    <m/>
    <s v="CORPO"/>
    <s v="Cober"/>
    <s v="Gestión de las Personas"/>
    <s v="Administración y Finanzas"/>
    <s v="Liderazgo"/>
    <s v="Coordinador/a de atracción de talento"/>
    <s v="Daniela"/>
    <m/>
    <x v="0"/>
    <x v="0"/>
    <m/>
    <m/>
    <m/>
    <s v="Reemplazo"/>
    <m/>
    <s v="Alejandro Alzate"/>
    <m/>
    <s v="Inderminado "/>
    <m/>
    <m/>
    <s v="Lunes a viernes de 8 a 17hs"/>
    <s v="La Musa"/>
    <d v="2025-12-29T00:00:00"/>
    <d v="2026-01-05T00:00:00"/>
    <m/>
    <m/>
    <s v="Juan Pablo Sanchez"/>
    <s v="2800000 bruto"/>
    <s v="FUCO"/>
    <s v="Si"/>
    <m/>
    <m/>
  </r>
  <r>
    <s v="00039"/>
    <d v="2025-12-03T00:00:00"/>
    <s v="Cerrada"/>
    <x v="0"/>
    <s v="Aprobada"/>
    <m/>
    <m/>
    <m/>
    <m/>
    <s v="PREPAGA"/>
    <s v="Cobensil"/>
    <s v="Cobranzas"/>
    <s v="Administración y Finanzas"/>
    <s v="Comercial, ventas y cobranzas"/>
    <s v="Cobrador/a"/>
    <s v="Florencia Rodriguez"/>
    <m/>
    <x v="0"/>
    <x v="0"/>
    <m/>
    <m/>
    <m/>
    <s v="Reemplazo"/>
    <m/>
    <s v="Milenka Barsallo"/>
    <m/>
    <s v="Inderminado "/>
    <m/>
    <m/>
    <s v="Lunes a Viernes de 11 a 20hs. (Full time)"/>
    <s v="Ravignani"/>
    <d v="2025-12-29T00:00:00"/>
    <d v="2026-01-06T00:00:00"/>
    <m/>
    <m/>
    <s v="Romina Llanos"/>
    <s v="$1.264.540,33 bruto / $1.033.022,00 neto"/>
    <s v="130/75"/>
    <s v="No"/>
    <s v="No"/>
    <s v="12/12 - Se conocen 3 candidatos, se avanzan con los 3 a preoc."/>
  </r>
  <r>
    <s v="00040"/>
    <d v="2025-12-09T00:00:00"/>
    <s v="Cerrada"/>
    <x v="2"/>
    <s v="Aprobada"/>
    <m/>
    <m/>
    <m/>
    <m/>
    <s v="SANATORIO COLEGIALES"/>
    <s v="CIRENDSA"/>
    <s v="Cirugía"/>
    <s v="Quirófano"/>
    <s v="Asistencial/Otros"/>
    <s v="INSTRUMENTADOR/A"/>
    <s v="Di Franco"/>
    <m/>
    <x v="0"/>
    <x v="0"/>
    <m/>
    <m/>
    <m/>
    <s v="Reemplazo"/>
    <m/>
    <s v="Suarez C"/>
    <m/>
    <s v="Eventual "/>
    <m/>
    <m/>
    <s v="Lunes a Sábados 15 a 23 hs. Feriados rotativos."/>
    <s v="SANATORIO"/>
    <d v="2026-01-05T00:00:00"/>
    <d v="2026-01-12T00:00:00"/>
    <m/>
    <m/>
    <s v="YEISON TEJADA"/>
    <s v="$1.478.071,38  bruto        $1.230.851,50 neto"/>
    <s v="122/75"/>
    <s v="No"/>
    <m/>
    <m/>
  </r>
  <r>
    <s v="00041"/>
    <d v="2025-12-09T00:00:00"/>
    <s v="Cerrada"/>
    <x v="0"/>
    <s v="Aprobada"/>
    <m/>
    <s v="No"/>
    <m/>
    <m/>
    <s v="PREPAGA"/>
    <s v="Cobensil SA"/>
    <s v="Ventas Retail"/>
    <s v="Comercial"/>
    <s v="Comercial, ventas y cobranzas"/>
    <s v="VENDEDOR/A"/>
    <s v="Serafin"/>
    <m/>
    <x v="0"/>
    <x v="0"/>
    <m/>
    <m/>
    <m/>
    <s v="Reemplazo"/>
    <m/>
    <s v="REA, ALEX JUAN ARIEL"/>
    <m/>
    <s v="Inderminado "/>
    <m/>
    <m/>
    <s v="Lunes a Viernes de 10 a 18hs"/>
    <s v="Sede de Vicente Lopez (Av. Maipu 1680) "/>
    <d v="2026-01-22T00:00:00"/>
    <d v="2026-02-03T00:00:00"/>
    <m/>
    <m/>
    <s v="Adrian Torosantucci"/>
    <s v="$1.271.329,36 bruto /  $1.036.688,00 neto"/>
    <s v="130/75"/>
    <s v="No"/>
    <s v="No"/>
    <m/>
  </r>
  <r>
    <s v="00042"/>
    <d v="2025-12-09T00:00:00"/>
    <s v="Cerrada"/>
    <x v="2"/>
    <s v="Aprobada"/>
    <m/>
    <m/>
    <m/>
    <m/>
    <s v="SANATORIO COLEGIALES"/>
    <s v="CIRENDSA"/>
    <s v="Hotelería"/>
    <s v="Internación"/>
    <s v="Servicios Generales"/>
    <s v="MUCAMO/A"/>
    <s v="Valeria Dodero"/>
    <m/>
    <x v="0"/>
    <x v="0"/>
    <m/>
    <m/>
    <m/>
    <s v="Reemplazo"/>
    <m/>
    <s v="Amarilla R"/>
    <m/>
    <s v="Eventual "/>
    <m/>
    <m/>
    <s v="14-22"/>
    <s v="SANATORIO"/>
    <d v="2026-01-06T00:00:00"/>
    <d v="2026-01-19T00:00:00"/>
    <m/>
    <m/>
    <s v="MARISA MARQUEZ"/>
    <s v="$1.000.154,62  BRUTO /       $830.004,50 NETO"/>
    <s v="122/75"/>
    <s v="No"/>
    <m/>
    <s v="17-12 entrevista 23-12 preoc // No firmó Anahi Gonzalez 6-1"/>
  </r>
  <r>
    <s v="00043"/>
    <d v="2025-12-09T00:00:00"/>
    <s v="Cerrada"/>
    <x v="2"/>
    <s v="Aprobada"/>
    <m/>
    <m/>
    <m/>
    <m/>
    <s v="SANATORIO COLEGIALES"/>
    <s v="CIRENDSA"/>
    <s v="Cirugía"/>
    <s v="Quirófano"/>
    <s v="Asistencial/Otros"/>
    <s v="INSTRUMENTADOR/A"/>
    <s v="Di Franco"/>
    <m/>
    <x v="0"/>
    <x v="0"/>
    <m/>
    <m/>
    <m/>
    <s v="Reemplazo"/>
    <m/>
    <s v="Karen G"/>
    <m/>
    <s v="Plazo Fijo"/>
    <m/>
    <m/>
    <s v="Lunes a Sábados 14 a 22 hs. Feriados rotativos."/>
    <s v="SANATORIO"/>
    <d v="2026-01-05T00:00:00"/>
    <d v="2026-01-12T00:00:00"/>
    <m/>
    <m/>
    <s v="CAROLINA CAMPOS"/>
    <s v="$1.478.071,38 bruto /         $1.230.851,50 neto"/>
    <s v="122/75"/>
    <s v="No"/>
    <m/>
    <s v="18/12  entrevista"/>
  </r>
  <r>
    <s v="00044"/>
    <d v="2025-12-11T00:00:00"/>
    <s v="Cerrada"/>
    <x v="3"/>
    <s v="Aprobada"/>
    <m/>
    <m/>
    <m/>
    <m/>
    <s v="CORPO"/>
    <s v="Healtnes"/>
    <s v="Mantenimiento"/>
    <s v="Servicios de Apoyo"/>
    <s v="Especialista"/>
    <s v="ARQUITECTO/A"/>
    <s v="Emilio"/>
    <m/>
    <x v="0"/>
    <x v="0"/>
    <m/>
    <m/>
    <m/>
    <s v="Reemplazo"/>
    <m/>
    <s v="Nestor Toledo"/>
    <m/>
    <s v="Inderminado "/>
    <m/>
    <m/>
    <s v="a coordinar"/>
    <s v="Cramer"/>
    <d v="2026-02-09T00:00:00"/>
    <d v="2026-02-18T00:00:00"/>
    <m/>
    <m/>
    <s v="Luciana Bruno"/>
    <s v="$3000000 bruto"/>
    <s v="FUCO"/>
    <s v="Si"/>
    <s v="No"/>
    <s v="se publica ne linkedin 18-12, 30-12 se entrevistaron 2 perfiles, se pasa a Dani para 2da instancia Cecilia Ibarola y Luciana Bruno | 12/01 - pidiendo referencias. Pasa Luciana a preocupacional el 27-01"/>
  </r>
  <r>
    <s v="00045"/>
    <d v="2025-12-13T00:00:00"/>
    <s v="Cerrada"/>
    <x v="2"/>
    <s v="Aprobada"/>
    <m/>
    <m/>
    <m/>
    <m/>
    <s v="SANATORIO COLEGIALES"/>
    <s v="CIRENDSA"/>
    <s v="Enfermeria"/>
    <s v="Terapia Intensiva"/>
    <s v="Asistencial/Enfermería"/>
    <s v="Enfermero/a de Terapia Intensiva"/>
    <s v="Alvez"/>
    <m/>
    <x v="0"/>
    <x v="0"/>
    <m/>
    <m/>
    <m/>
    <s v="Reemplazo"/>
    <m/>
    <s v="Pistan D"/>
    <m/>
    <s v="Eventual "/>
    <m/>
    <m/>
    <s v="14 A 22 HS por vacaciones"/>
    <s v="SANATORIO"/>
    <d v="2026-01-27T00:00:00"/>
    <d v="2026-02-02T00:00:00"/>
    <m/>
    <m/>
    <s v="FISDERI VASQUEZ"/>
    <s v="$1.444.204,15 bruto /        $1.205.247,26 neto"/>
    <s v="122/75"/>
    <s v="No"/>
    <m/>
    <s v="Agendando una nueva entrevista"/>
  </r>
  <r>
    <s v="00046"/>
    <d v="2025-12-13T00:00:00"/>
    <s v="Cerrada"/>
    <x v="2"/>
    <s v="Aprobada"/>
    <m/>
    <m/>
    <m/>
    <m/>
    <s v="SANATORIO COLEGIALES"/>
    <s v="CIRENDSA"/>
    <s v="Enfermeria"/>
    <s v="Terapia Intensiva"/>
    <s v="Asistencial/Enfermería"/>
    <s v="Enfermero/a de Terapia Intensiva"/>
    <s v="Alvez"/>
    <m/>
    <x v="0"/>
    <x v="0"/>
    <m/>
    <m/>
    <m/>
    <s v="Reemplazo"/>
    <m/>
    <s v="Loza J"/>
    <m/>
    <s v="Eventual "/>
    <m/>
    <m/>
    <s v="14 A 22 HS por vacaciones"/>
    <s v="SANATORIO"/>
    <d v="2026-01-27T00:00:00"/>
    <d v="2026-02-02T00:00:00"/>
    <m/>
    <m/>
    <s v="GERALDINE CASTRO"/>
    <s v="$1.444.204,15 bruto /        $1.205.247,26 neto"/>
    <s v="122/75"/>
    <s v="No"/>
    <m/>
    <s v="Agendando una nueva entrevista"/>
  </r>
  <r>
    <s v="00047"/>
    <d v="2025-12-15T00:00:00"/>
    <s v="Cerrada"/>
    <x v="0"/>
    <s v="Aprobada"/>
    <m/>
    <m/>
    <m/>
    <m/>
    <s v="SANATORIO COLEGIALES"/>
    <s v="CIRENDSA"/>
    <s v="Mantenimiento"/>
    <s v="Servicios de Apoyo"/>
    <s v="Mantenimiento y obras"/>
    <s v="OFICIAL DE MANTENIMIENTO"/>
    <s v="Erika"/>
    <m/>
    <x v="0"/>
    <x v="0"/>
    <m/>
    <m/>
    <m/>
    <s v="Reemplazo"/>
    <m/>
    <s v="ROMIG, JAVIER ALEJANDRO        "/>
    <m/>
    <s v="Plazo Fijo"/>
    <m/>
    <m/>
    <s v="Lunes a Sabados de 6 a 14hs"/>
    <s v="SANATORIO"/>
    <d v="2025-12-29T00:00:00"/>
    <d v="2026-01-12T00:00:00"/>
    <m/>
    <m/>
    <s v="Sergio Leguizamon"/>
    <s v="$1.169.901,95 bruto / $966.949,00 neto"/>
    <s v="122/75"/>
    <s v="No"/>
    <s v="No"/>
    <s v="18/12 Entrevista en conjunto con Erika, se conocen 3 candidatos, avanzan 2 a preoc."/>
  </r>
  <r>
    <s v="00048"/>
    <d v="2025-12-15T00:00:00"/>
    <s v="Cerrada"/>
    <x v="0"/>
    <s v="Aprobada"/>
    <m/>
    <m/>
    <m/>
    <m/>
    <s v="SANATORIO COLEGIALES"/>
    <s v="CIRENDSA"/>
    <s v="Mantenimiento"/>
    <s v="Servicios de Apoyo"/>
    <s v="Mantenimiento y obras"/>
    <s v="OFICIAL DE MANTENIMIENTO"/>
    <s v="Erika"/>
    <m/>
    <x v="0"/>
    <x v="0"/>
    <m/>
    <m/>
    <m/>
    <s v="Reemplazo"/>
    <m/>
    <m/>
    <m/>
    <s v="Plazo Fijo"/>
    <m/>
    <m/>
    <s v="Lunes a Sabados de 6 a 14hs"/>
    <s v="SANATORIO"/>
    <d v="2026-01-06T00:00:00"/>
    <d v="2026-01-12T00:00:00"/>
    <m/>
    <m/>
    <s v="Braian Miguel Rojas"/>
    <s v="$1.169.901,95 bruto / $966.949,00 neto"/>
    <s v="122/75"/>
    <s v="No"/>
    <s v="No"/>
    <s v="18/12 Entrevista en conjunto con Erika, se conocen 3 candidatos, avanzan 2 a preoc. / inicialmente la búsqueda se genera por Gustavo Razzetto , ingresa Brian Miguel quién renuncia a los 2 días ."/>
  </r>
  <r>
    <s v="00049"/>
    <d v="2025-12-16T00:00:00"/>
    <s v="Cerrada"/>
    <x v="2"/>
    <s v="Aprobada"/>
    <m/>
    <m/>
    <m/>
    <m/>
    <s v="SANATORIO COLEGIALES"/>
    <s v="CIRENDSA"/>
    <s v="Enfermeria"/>
    <s v="Terapia Intensiva"/>
    <s v="Asistencial/Enfermería"/>
    <s v="Enfermero/a de Terapia Intensiva"/>
    <s v="Alvez"/>
    <m/>
    <x v="0"/>
    <x v="0"/>
    <m/>
    <s v="Baja"/>
    <s v="Media"/>
    <s v="Reemplazo"/>
    <m/>
    <s v="Roque J"/>
    <m/>
    <s v="Inderminado "/>
    <m/>
    <m/>
    <s v="14-22"/>
    <s v="SANATORIO"/>
    <d v="2026-03-11T00:00:00"/>
    <d v="2026-03-23T00:00:00"/>
    <m/>
    <m/>
    <s v="WENDY ASTORGA"/>
    <s v=" $1.444.204,15 bruto /_x0009_ $1.205.247,26 neto"/>
    <s v="122/75"/>
    <s v="No"/>
    <s v="No"/>
    <m/>
  </r>
  <r>
    <s v="00050"/>
    <d v="2025-12-18T00:00:00"/>
    <s v="Cerrada"/>
    <x v="2"/>
    <s v="Aprobada"/>
    <m/>
    <m/>
    <m/>
    <m/>
    <s v="SANATORIO COLEGIALES"/>
    <s v="CIRENDSA"/>
    <s v="Hotelería"/>
    <s v="Internación"/>
    <s v="Servicios Generales"/>
    <s v="MUCAMO/A"/>
    <s v="Valeria Dodero"/>
    <m/>
    <x v="0"/>
    <x v="0"/>
    <m/>
    <m/>
    <m/>
    <s v="Reemplazo"/>
    <m/>
    <s v="Segovia M"/>
    <m/>
    <s v="Plazo Fijo"/>
    <m/>
    <m/>
    <s v="14-22"/>
    <s v="SANATORIO"/>
    <d v="2026-01-05T00:00:00"/>
    <d v="2026-01-06T00:00:00"/>
    <m/>
    <m/>
    <s v="NILDA SANTACRUZ"/>
    <s v="$1.000.154,62  BRUTO /  $830.004,50 NETO"/>
    <s v="122/75"/>
    <s v="No"/>
    <m/>
    <s v="17-12 entrevista 23-12 preoc"/>
  </r>
  <r>
    <s v="00051"/>
    <d v="2025-12-18T00:00:00"/>
    <s v="Cerrada"/>
    <x v="2"/>
    <s v="Aprobada"/>
    <m/>
    <m/>
    <m/>
    <m/>
    <s v="SANATORIO COLEGIALES"/>
    <s v="CIRENDSA"/>
    <s v="Hotelería"/>
    <s v="Internación"/>
    <s v="Servicios Generales"/>
    <s v="MUCAMO/A"/>
    <s v="Valeria Dodero"/>
    <m/>
    <x v="0"/>
    <x v="0"/>
    <m/>
    <m/>
    <m/>
    <s v="Reemplazo"/>
    <m/>
    <s v="Ledesma M"/>
    <m/>
    <s v="Plazo Fijo"/>
    <m/>
    <m/>
    <s v="14-22"/>
    <s v="SANATORIO"/>
    <d v="2026-01-05T00:00:00"/>
    <d v="2026-01-06T00:00:00"/>
    <m/>
    <m/>
    <s v="ANA ODRIOZOLA"/>
    <s v="$1.000.154,62  BRUTO /  $830.004,50 NETO"/>
    <s v="122/75"/>
    <s v="No"/>
    <m/>
    <s v="17-12 entrevista 23-12 preoc"/>
  </r>
  <r>
    <s v="00052"/>
    <d v="2025-12-19T00:00:00"/>
    <s v="Cerrada"/>
    <x v="2"/>
    <s v="Aprobada"/>
    <m/>
    <m/>
    <m/>
    <m/>
    <s v="SANATORIO COLEGIALES"/>
    <s v="CIRENDSA"/>
    <s v="Enfermeria"/>
    <s v="Internación"/>
    <s v="Asistencial/Enfermería"/>
    <s v="Enfermero/a de Internación"/>
    <s v="Alvez"/>
    <m/>
    <x v="0"/>
    <x v="0"/>
    <m/>
    <m/>
    <m/>
    <s v="Reemplazo"/>
    <m/>
    <s v="Lic prolongada Montaño K"/>
    <m/>
    <s v="Eventual "/>
    <m/>
    <m/>
    <s v="14 A 22 HS por cobertura licencia 129016 HERBAS BELEN                "/>
    <s v="SANATORIO"/>
    <d v="2026-01-15T00:00:00"/>
    <d v="2026-02-02T00:00:00"/>
    <m/>
    <m/>
    <s v="BRIGHIT FLORES"/>
    <s v="$1.223.571,44 bruto /         $1.024.328,50 neto"/>
    <s v="122/75"/>
    <s v="No"/>
    <m/>
    <m/>
  </r>
  <r>
    <s v="00053"/>
    <d v="2025-12-20T00:00:00"/>
    <s v="Cerrada"/>
    <x v="0"/>
    <s v="Aprobada"/>
    <m/>
    <m/>
    <m/>
    <m/>
    <s v="SANATORIO COLEGIALES"/>
    <s v="Desarrollos en salud"/>
    <s v="Obras"/>
    <s v="Servicios de Apoyo"/>
    <s v="Mantenimiento y obras"/>
    <s v="Albañil"/>
    <s v="Tejedor"/>
    <m/>
    <x v="0"/>
    <x v="0"/>
    <m/>
    <m/>
    <m/>
    <s v="Reemplazo"/>
    <m/>
    <s v="162934 - Duarte Oscar"/>
    <m/>
    <s v="Inderminado "/>
    <m/>
    <m/>
    <s v="Lunes a viernes de 8 a 17hs"/>
    <s v="SANATORIO"/>
    <d v="2026-01-08T00:00:00"/>
    <d v="2026-01-19T00:00:00"/>
    <m/>
    <m/>
    <s v="Cristian Aguilar"/>
    <s v=" $1.169.647,23 bruto / $979.266,50 neto"/>
    <s v="122/75"/>
    <s v="No"/>
    <s v="No"/>
    <s v="Entrevista 29/12, se envian a preoc a 2 candidatos"/>
  </r>
  <r>
    <s v="00054"/>
    <d v="2025-12-20T00:00:00"/>
    <s v="Cerrada"/>
    <x v="2"/>
    <s v="Aprobada"/>
    <m/>
    <m/>
    <m/>
    <m/>
    <s v="SANATORIO COLEGIALES"/>
    <s v="CIRENDSA"/>
    <s v="Enfermeria"/>
    <s v="Internación"/>
    <s v="Asistencial/Enfermería"/>
    <s v="Enfermero/a de Internación"/>
    <s v="Alvez"/>
    <m/>
    <x v="0"/>
    <x v="0"/>
    <m/>
    <m/>
    <m/>
    <s v="Reemplazo"/>
    <m/>
    <s v="Lic prolongada HerBas B"/>
    <m/>
    <s v="Eventual "/>
    <m/>
    <m/>
    <s v="14 A 22 HS por cobertura licencia 130805 MONTAÑO KAREN                "/>
    <s v="SANATORIO"/>
    <d v="2026-01-15T00:00:00"/>
    <d v="2026-02-02T00:00:00"/>
    <m/>
    <m/>
    <s v="MARIANA CRISTALDO"/>
    <s v="$1.223.571,44 bruto /         $1.024.328,50 neto"/>
    <s v="122/75"/>
    <s v="No"/>
    <m/>
    <m/>
  </r>
  <r>
    <s v="00055"/>
    <d v="2025-12-22T00:00:00"/>
    <s v="Cerrada"/>
    <x v="2"/>
    <s v="Aprobada"/>
    <m/>
    <m/>
    <m/>
    <m/>
    <s v="SANATORIO COLEGIALES"/>
    <s v="CIRENDSA"/>
    <s v="Enfermeria"/>
    <s v="Terapia Intensiva"/>
    <s v="Asistencial/Enfermería"/>
    <s v="Enfermero/a de Terapia Intensiva"/>
    <s v="Alvez"/>
    <m/>
    <x v="0"/>
    <x v="0"/>
    <m/>
    <m/>
    <m/>
    <s v="Reemplazo"/>
    <m/>
    <s v="Vuelta Castellon Bassa a CM"/>
    <m/>
    <s v="Plazo Fijo"/>
    <m/>
    <m/>
    <s v="22 A 6 HS"/>
    <s v="SANATORIO"/>
    <d v="2026-02-19T00:00:00"/>
    <d v="2026-02-23T00:00:00"/>
    <m/>
    <m/>
    <s v="MARCOS IBARRA"/>
    <s v="$1.554.520,85 bruto /         $1.295.707,00 neto"/>
    <s v="122/75"/>
    <s v="No"/>
    <m/>
    <s v="CC TN"/>
  </r>
  <r>
    <s v="00056"/>
    <d v="2025-12-22T00:00:00"/>
    <s v="Cerrada"/>
    <x v="2"/>
    <s v="Aprobada"/>
    <m/>
    <m/>
    <m/>
    <m/>
    <s v="SANATORIO COLEGIALES"/>
    <s v="CIRENDSA"/>
    <s v="Enfermeria"/>
    <s v="Quirófano"/>
    <s v="Asistencial/Enfermería"/>
    <s v="Enfermero/a de Endoscopia"/>
    <s v="Alvez"/>
    <m/>
    <x v="0"/>
    <x v="0"/>
    <m/>
    <m/>
    <m/>
    <s v="Reemplazo"/>
    <m/>
    <s v="Piñeiro Y"/>
    <m/>
    <s v="Eventual "/>
    <m/>
    <m/>
    <s v="Lunes a Sábados 15 a 23 hs. Feriados a coordinar."/>
    <s v="SANATORIO"/>
    <d v="2026-01-27T00:00:00"/>
    <d v="2026-02-02T00:00:00"/>
    <m/>
    <m/>
    <s v="JUDITH CHAPOÑAN "/>
    <s v="$1.481.645,21 bruto /        $1.235.949,00 neto"/>
    <s v="122/75"/>
    <s v="No"/>
    <m/>
    <m/>
  </r>
  <r>
    <s v="00057"/>
    <d v="2025-12-22T00:00:00"/>
    <s v="Cerrada"/>
    <x v="0"/>
    <s v="Aprobada"/>
    <m/>
    <s v="No"/>
    <m/>
    <m/>
    <s v="PREPAGA"/>
    <s v="Cobensil SA"/>
    <s v="Ventas Retail"/>
    <s v="Comercial"/>
    <s v="Comercial, ventas y cobranzas"/>
    <s v="VENDEDOR/A"/>
    <s v="Serafin"/>
    <m/>
    <x v="0"/>
    <x v="0"/>
    <m/>
    <m/>
    <m/>
    <s v="Reemplazo"/>
    <m/>
    <s v="CASTRO, SANDRA FLORENCIA"/>
    <m/>
    <s v="Inderminado "/>
    <m/>
    <m/>
    <s v="Lunes a Viernes de 10 a 18hs"/>
    <s v="Sede Colegiales (Lacroze 3257)"/>
    <d v="2026-01-22T00:00:00"/>
    <d v="2026-02-03T00:00:00"/>
    <m/>
    <m/>
    <s v="Virginia Ivon Romero"/>
    <s v="$1.271.329,36 bruto /  $1.036.688,00 neto"/>
    <s v="130/75"/>
    <s v="No"/>
    <s v="No"/>
    <m/>
  </r>
  <r>
    <s v="00058"/>
    <d v="2025-12-22T00:00:00"/>
    <s v="Cerrada"/>
    <x v="4"/>
    <s v="Aprobada"/>
    <m/>
    <s v="No"/>
    <s v="No"/>
    <m/>
    <s v="PREPAGA"/>
    <s v="Cobensil SA"/>
    <s v="Business Inteligence"/>
    <s v="Administración"/>
    <s v="Analista IT"/>
    <s v="Analista Business Analytics"/>
    <s v="Ignacio Jaregui"/>
    <m/>
    <x v="0"/>
    <x v="0"/>
    <m/>
    <s v="Alta"/>
    <s v="Alta "/>
    <s v="Reemplazo"/>
    <m/>
    <s v="Leandro Carbo"/>
    <m/>
    <s v="Indeterminado "/>
    <m/>
    <m/>
    <s v="Lunes a Viernes de  8 a 17hs / 9 a 18 hs"/>
    <s v="Ravignani"/>
    <d v="2026-04-08T00:00:00"/>
    <d v="2026-04-20T00:00:00"/>
    <s v="Externa"/>
    <s v="Consultora"/>
    <s v="Rafael Valera"/>
    <s v="$2,800,000 ( Netos )"/>
    <s v="FUCO"/>
    <s v="Si"/>
    <s v="No"/>
    <s v="18-12 se estan validando perfiles, se envio a Nacho 16-12 un perfil entrevistará CArbo en 2da fase 22-12, se ajusta a analista el 17-12, la candidatsa Raineth no cum'ple con el perfil técnico, se continua la busqueda. Se presentaron dos perfiles a Carbó Gianluca Mazzocchi y LAura ambos pasan a netrevista con Nacho, el luens 12 se envía resumen. Pasa a nueva fase con entrevistas validación tecnica con Paula Bria, con Raineth, Gianlucca, Adriel, Catriel 19-01. Pasa a preo Gianluca el martes 24-02."/>
  </r>
  <r>
    <s v="00059"/>
    <d v="2025-12-23T00:00:00"/>
    <s v="Cerrada"/>
    <x v="2"/>
    <s v="Aprobada"/>
    <m/>
    <m/>
    <m/>
    <m/>
    <s v="SANATORIO COLEGIALES"/>
    <s v="CIRENDSA"/>
    <s v="Hotelería"/>
    <s v="Internación"/>
    <s v="Servicios Generales"/>
    <s v="MUCAMO/A"/>
    <s v="Valeria Dodero"/>
    <m/>
    <x v="0"/>
    <x v="0"/>
    <m/>
    <m/>
    <m/>
    <s v="Reemplazo"/>
    <m/>
    <s v="Monteros C"/>
    <m/>
    <s v="Plazo Fijo"/>
    <m/>
    <m/>
    <s v="14-22"/>
    <s v="SANATORIO"/>
    <d v="2026-01-15T00:00:00"/>
    <d v="2026-01-23T00:00:00"/>
    <m/>
    <m/>
    <s v="JESICA SORIA"/>
    <s v="$1.052.963,43  bruto /       $875.067,00 neto"/>
    <s v="122/75"/>
    <s v="No"/>
    <m/>
    <m/>
  </r>
  <r>
    <s v="00060"/>
    <d v="2025-12-26T00:00:00"/>
    <s v="Cerrada"/>
    <x v="2"/>
    <s v="Aprobada"/>
    <m/>
    <m/>
    <m/>
    <m/>
    <s v="SANATORIO COLEGIALES"/>
    <s v="CIRENDSA"/>
    <s v="Enfermeria"/>
    <s v="Servicios de Apoyo"/>
    <s v="Servicios Generales"/>
    <s v="CAMILLERO/A"/>
    <s v="Alvez"/>
    <m/>
    <x v="0"/>
    <x v="0"/>
    <m/>
    <m/>
    <m/>
    <s v="Reemplazo"/>
    <m/>
    <s v="Busilachi J"/>
    <m/>
    <s v="Eventual "/>
    <m/>
    <m/>
    <s v="ROTATIVO entre los turnos 6-14 hs, 14-22 hs, 22-6 hs según cronograma"/>
    <s v="SANATORIO"/>
    <d v="2025-12-30T00:00:00"/>
    <d v="2026-01-06T00:00:00"/>
    <m/>
    <m/>
    <s v="ALEXIS CARDOSO"/>
    <s v="$1.079.520,88  bruto / $906.107,00 neto"/>
    <s v="122/75"/>
    <s v="No"/>
    <m/>
    <s v="15-12 entrevista / 19-12 preo"/>
  </r>
  <r>
    <s v="00061"/>
    <d v="2025-12-26T00:00:00"/>
    <s v="Cerrada"/>
    <x v="2"/>
    <s v="Aprobada"/>
    <m/>
    <m/>
    <m/>
    <m/>
    <s v="SANATORIO COLEGIALES"/>
    <s v="CIRENDSA"/>
    <s v="Enfermeria"/>
    <s v="Servicios de Apoyo"/>
    <s v="Servicios Generales"/>
    <s v="CAMILLERO/A"/>
    <s v="Alvez"/>
    <m/>
    <x v="0"/>
    <x v="0"/>
    <m/>
    <m/>
    <m/>
    <s v="Reemplazo"/>
    <m/>
    <s v="Paz S"/>
    <m/>
    <s v="Plazo Fijo"/>
    <m/>
    <m/>
    <s v="14-22 hs - 1 franco semanal a definir en el área."/>
    <s v="SANATORIO"/>
    <d v="2026-01-13T00:00:00"/>
    <d v="2026-01-19T00:00:00"/>
    <m/>
    <m/>
    <s v="ORTEGA JOHN "/>
    <s v="$1.195.063,16 bruto /        $1.000.952,00 neto"/>
    <s v="122/75"/>
    <s v="No"/>
    <m/>
    <s v="16-12 entrevista / 19-12 preoc / 30-12 no apto por labo, se retoma"/>
  </r>
  <r>
    <s v="00062"/>
    <d v="2025-12-26T00:00:00"/>
    <s v="Cerrada"/>
    <x v="2"/>
    <s v="Aprobada"/>
    <m/>
    <m/>
    <m/>
    <m/>
    <s v="SANATORIO COLEGIALES"/>
    <s v="CIRENDSA"/>
    <s v="Hotelería"/>
    <s v="Internación"/>
    <s v="Servicios Generales"/>
    <s v="MUCAMO/A"/>
    <s v="Valeria Dodero"/>
    <m/>
    <x v="0"/>
    <x v="0"/>
    <m/>
    <m/>
    <m/>
    <s v="Reemplazo"/>
    <m/>
    <s v="Avellaneda Y"/>
    <m/>
    <s v="Plazo Fijo"/>
    <m/>
    <m/>
    <s v="14-22"/>
    <s v="SANATORIO"/>
    <d v="2026-01-06T00:00:00"/>
    <d v="2026-01-19T00:00:00"/>
    <m/>
    <m/>
    <s v="JORGELINA FLORES"/>
    <s v="$1.000.154,62  BRUTO /       $830.004,50 NETO"/>
    <s v="122/75"/>
    <s v="No"/>
    <m/>
    <s v="17-12 entrevista 23-12 preoc"/>
  </r>
  <r>
    <s v="00063"/>
    <d v="2025-12-26T00:00:00"/>
    <s v="Cerrada"/>
    <x v="2"/>
    <s v="Aprobada"/>
    <m/>
    <m/>
    <m/>
    <m/>
    <s v="SANATORIO COLEGIALES"/>
    <s v="CIRENDSA"/>
    <s v="Admisión"/>
    <s v="Consultorios Externos"/>
    <s v="Administrativo/a"/>
    <s v="ADMISIONISTA"/>
    <s v="Gomez"/>
    <m/>
    <x v="0"/>
    <x v="0"/>
    <m/>
    <m/>
    <m/>
    <s v="Reemplazo"/>
    <m/>
    <s v="Montero M"/>
    <m/>
    <s v="Plazo Fijo"/>
    <m/>
    <m/>
    <s v="Lunes a Viernes 14 a 20 hs, Sábado por medio 7 a 13 hs"/>
    <s v="SANATORIO"/>
    <d v="2026-01-05T00:00:00"/>
    <d v="2026-01-12T00:00:00"/>
    <m/>
    <m/>
    <s v="AGUSTINA GIURICH"/>
    <s v="$801.551,37 bruto /        $662.168,00 neto"/>
    <s v="122/75"/>
    <s v="No"/>
    <m/>
    <s v="17-12 entrevista 19-12 preoc"/>
  </r>
  <r>
    <s v="00064"/>
    <d v="2025-12-26T00:00:00"/>
    <s v="Cerrada"/>
    <x v="2"/>
    <s v="Aprobada"/>
    <m/>
    <m/>
    <m/>
    <m/>
    <s v="SANATORIO COLEGIALES"/>
    <s v="CIRENDSA"/>
    <s v="Admisión"/>
    <s v="Consultorios Externos"/>
    <s v="Administrativo/a"/>
    <s v="ADMISIONISTA"/>
    <s v="Gomez"/>
    <m/>
    <x v="0"/>
    <x v="0"/>
    <m/>
    <m/>
    <m/>
    <s v="Reemplazo"/>
    <m/>
    <s v="Lanza Z"/>
    <m/>
    <s v="Plazo Fijo"/>
    <m/>
    <m/>
    <s v="Lunes a Viernes 14 a 20 hs, Sábado por medio 7 a 13 hs"/>
    <s v="SANATORIO"/>
    <d v="2026-01-05T00:00:00"/>
    <d v="2026-01-12T00:00:00"/>
    <m/>
    <m/>
    <s v="ROMINA RONCORONI"/>
    <s v="$801.551,37 bruto /        $662.168,00 neto"/>
    <s v="122/75"/>
    <s v="No"/>
    <m/>
    <s v="17-12 entrevista 23-12 preoc"/>
  </r>
  <r>
    <s v="00065"/>
    <d v="2025-12-26T00:00:00"/>
    <s v="Cerrada"/>
    <x v="2"/>
    <s v="Aprobada"/>
    <m/>
    <m/>
    <m/>
    <m/>
    <s v="SANATORIO COLEGIALES"/>
    <s v="CIRENDSA"/>
    <s v="Enfermeria"/>
    <s v="Terapia Intensiva"/>
    <s v="Asistencial/Enfermería"/>
    <s v="Enfermero/a de Terapia Intensiva"/>
    <s v="Alvez"/>
    <m/>
    <x v="0"/>
    <x v="0"/>
    <m/>
    <m/>
    <m/>
    <s v="Reemplazo"/>
    <m/>
    <s v="Camino C"/>
    <m/>
    <s v="Eventual "/>
    <m/>
    <m/>
    <s v="22 A 6 HS"/>
    <s v="SANATORIO"/>
    <d v="2026-02-05T00:00:00"/>
    <d v="2026-02-09T00:00:00"/>
    <m/>
    <m/>
    <s v="EDITH LLANES"/>
    <s v="$1.554.520,85  bruto /       $1.295.707,00 neto"/>
    <s v="122/75"/>
    <s v="No"/>
    <m/>
    <m/>
  </r>
  <r>
    <s v="00066"/>
    <d v="2025-12-26T00:00:00"/>
    <s v="Cerrada"/>
    <x v="1"/>
    <s v="Aprobada"/>
    <m/>
    <m/>
    <m/>
    <m/>
    <s v="SANATORIO COLEGIALES"/>
    <m/>
    <s v="Sistemas"/>
    <s v="Sistemas"/>
    <s v="Analista IT"/>
    <s v="Programador Java"/>
    <s v="David"/>
    <m/>
    <x v="0"/>
    <x v="0"/>
    <m/>
    <s v="Alta"/>
    <s v="Media"/>
    <s v="Reemplazo"/>
    <m/>
    <s v="Mantilla R"/>
    <m/>
    <s v="Indeterminado "/>
    <m/>
    <m/>
    <s v="L a V 09h a 18h"/>
    <s v="La Musa"/>
    <d v="2026-04-10T00:00:00"/>
    <d v="2026-04-20T00:00:00"/>
    <s v="Externa"/>
    <s v="Linkedln "/>
    <s v="Gian Franco Stigliano"/>
    <s v="3253012,04 bruto"/>
    <s v="FUCO"/>
    <s v="Ok"/>
    <s v="No"/>
    <m/>
  </r>
  <r>
    <s v="00067"/>
    <d v="2025-12-28T00:00:00"/>
    <s v="Cerrada"/>
    <x v="2"/>
    <s v="Aprobada"/>
    <m/>
    <m/>
    <m/>
    <m/>
    <s v="SANATORIO COLEGIALES"/>
    <s v="CIRENDSA"/>
    <s v="Enfermeria"/>
    <s v="Internación"/>
    <s v="Asistencial/Enfermería"/>
    <s v="Enfermero/a de Internación"/>
    <s v="Alvez"/>
    <m/>
    <x v="0"/>
    <x v="0"/>
    <m/>
    <s v="Baja"/>
    <s v="Media"/>
    <s v="Reemplazo"/>
    <m/>
    <s v="Aguilar M"/>
    <m/>
    <s v="Plazo Fijo"/>
    <m/>
    <m/>
    <s v="14 A 22 HS"/>
    <s v="SANATORIO"/>
    <d v="2026-03-03T00:00:00"/>
    <d v="2026-03-09T00:00:00"/>
    <m/>
    <m/>
    <s v="JOSE ROCHA"/>
    <s v="$1.223.571,44  bruto /       $1.024.328,50 neto"/>
    <s v="122/75"/>
    <s v="No"/>
    <m/>
    <m/>
  </r>
  <r>
    <s v="00068"/>
    <d v="2025-12-29T00:00:00"/>
    <s v="Cerrada"/>
    <x v="0"/>
    <s v="Aprobada"/>
    <m/>
    <m/>
    <m/>
    <m/>
    <s v="FARMACIA"/>
    <s v="Farmacia Nobel"/>
    <s v="Administración"/>
    <s v="Farmacia Lamaité"/>
    <s v="Administrativo/a"/>
    <s v="CAJERO/A"/>
    <s v="Ivan Lara"/>
    <m/>
    <x v="0"/>
    <x v="0"/>
    <m/>
    <m/>
    <m/>
    <s v="Reemplazo"/>
    <m/>
    <s v="Melanie Cabrera "/>
    <m/>
    <s v="Plazo Fijo"/>
    <m/>
    <m/>
    <s v="Lunes a Viernes 16 a 22hs y Sabados de 13 a 22hs."/>
    <s v="Farmacia"/>
    <d v="2026-01-08T00:00:00"/>
    <d v="2026-01-19T00:00:00"/>
    <m/>
    <m/>
    <s v="Roxana Sequeira"/>
    <s v=" $1.429.794,99 bruto / $1.158.134,00 neto"/>
    <s v="414/05"/>
    <s v="No"/>
    <s v="No"/>
    <s v="19/12 Se conocen 2 candidatos, avanza 1 a preoc."/>
  </r>
  <r>
    <s v="00069"/>
    <d v="2025-12-29T00:00:00"/>
    <s v="Cerrada"/>
    <x v="2"/>
    <s v="Aprobada"/>
    <m/>
    <m/>
    <m/>
    <m/>
    <s v="SANATORIO COLEGIALES"/>
    <s v="CIRENDSA"/>
    <s v="Enfermeria"/>
    <s v="Terapia Intensiva"/>
    <s v="Asistencial/Enfermería"/>
    <s v="Enfermero/a de Terapia Intensiva"/>
    <s v="Alvez"/>
    <m/>
    <x v="0"/>
    <x v="0"/>
    <m/>
    <m/>
    <m/>
    <s v="Reemplazo"/>
    <m/>
    <s v="Vuelta Vasquez V a CM"/>
    <m/>
    <s v="Plazo Fijo"/>
    <m/>
    <m/>
    <s v="6 A 14 HS"/>
    <s v="SANATORIO"/>
    <d v="2026-02-10T00:00:00"/>
    <d v="2026-02-23T00:00:00"/>
    <m/>
    <m/>
    <s v="DANNA SPIRAN"/>
    <s v="$1.444.204,15  bruto /       $1.205.247,26 neto"/>
    <s v="122/75"/>
    <s v="No"/>
    <m/>
    <m/>
  </r>
  <r>
    <s v="00070"/>
    <d v="2025-12-29T00:00:00"/>
    <s v="Cerrada"/>
    <x v="2"/>
    <s v="Aprobada"/>
    <m/>
    <m/>
    <m/>
    <m/>
    <s v="SANATORIO COLEGIALES"/>
    <s v="CIRENDSA"/>
    <s v="Enfermeria"/>
    <s v="Terapia Intensiva"/>
    <s v="Asistencial/Enfermería"/>
    <s v="Enfermero/a de Terapia Intensiva"/>
    <s v="Alvez"/>
    <m/>
    <x v="0"/>
    <x v="0"/>
    <m/>
    <m/>
    <m/>
    <s v="Reemplazo"/>
    <m/>
    <s v="Vuelta de Placereano a CM"/>
    <m/>
    <s v="Plazo Fijo"/>
    <m/>
    <m/>
    <s v="6 A 14 HS"/>
    <s v="SANATORIO"/>
    <d v="2026-02-10T00:00:00"/>
    <d v="2026-02-23T00:00:00"/>
    <m/>
    <m/>
    <s v="JANETH VARGAS"/>
    <s v="$1.444.204,15  bruto /       $1.205.247,26 neto"/>
    <s v="122/75"/>
    <s v="No"/>
    <m/>
    <m/>
  </r>
  <r>
    <s v="00071"/>
    <d v="2025-12-29T00:00:00"/>
    <s v="Cerrada"/>
    <x v="2"/>
    <s v="Aprobada"/>
    <m/>
    <m/>
    <m/>
    <m/>
    <s v="SANATORIO COLEGIALES"/>
    <s v="CIRENDSA"/>
    <s v="Hotelería"/>
    <s v="Internación"/>
    <s v="Servicios Generales"/>
    <s v="MUCAMO/A"/>
    <s v="Valeria Dodero"/>
    <m/>
    <x v="0"/>
    <x v="0"/>
    <m/>
    <m/>
    <m/>
    <s v="Reemplazo"/>
    <m/>
    <s v="Menendez Ab"/>
    <m/>
    <s v="Plazo Fijo"/>
    <m/>
    <m/>
    <s v="6-14 HS"/>
    <s v="SANATORIO"/>
    <d v="2026-01-15T00:00:00"/>
    <d v="2026-02-09T00:00:00"/>
    <m/>
    <m/>
    <s v="NORMA ROJAS"/>
    <s v="$1.052.963,43  bruto /       $875.067,00 neto"/>
    <s v="122/75"/>
    <s v="No"/>
    <m/>
    <m/>
  </r>
  <r>
    <s v="00072"/>
    <d v="2025-12-31T00:00:00"/>
    <s v="Cerrada"/>
    <x v="0"/>
    <s v="Aprobada"/>
    <m/>
    <m/>
    <m/>
    <m/>
    <s v="PREPAGA"/>
    <s v="Cobensil"/>
    <s v="Cobranzas"/>
    <s v="Administración y Finanzas"/>
    <s v="Comercial, ventas y cobranzas"/>
    <s v="Cobrador/a"/>
    <s v="Florencia Rodriguez"/>
    <m/>
    <x v="0"/>
    <x v="0"/>
    <m/>
    <m/>
    <m/>
    <s v="Reemplazo"/>
    <m/>
    <s v="Monica Andrade (153820)"/>
    <m/>
    <s v="Inderminado "/>
    <m/>
    <m/>
    <s v="Lunes a Viernes de 14h a 20hs, Sabado x medio de 9 a 13hs (Part time) "/>
    <s v="Ravignani"/>
    <d v="2026-01-06T00:00:00"/>
    <d v="2026-01-13T00:00:00"/>
    <m/>
    <m/>
    <s v="Camila Fernandez"/>
    <s v="$711.303,94 bruto / $564.434,00 neto"/>
    <s v="130/75"/>
    <s v="No"/>
    <s v="No"/>
    <s v="12/12 - Se conocen 3 candidatos, se avanzan con los 3 a preoc."/>
  </r>
  <r>
    <s v="00073"/>
    <d v="2025-12-31T00:00:00"/>
    <s v="Cerrada"/>
    <x v="2"/>
    <s v="Aprobada"/>
    <m/>
    <m/>
    <m/>
    <m/>
    <s v="SANATORIO COLEGIALES"/>
    <s v="CIRENDSA"/>
    <s v="Enfermeria"/>
    <s v="Internación"/>
    <s v="Asistencial/Enfermería"/>
    <s v="Enfermero/a de Internación"/>
    <s v="Alvez"/>
    <m/>
    <x v="0"/>
    <x v="0"/>
    <m/>
    <m/>
    <m/>
    <s v="Reemplazo"/>
    <m/>
    <s v="Pase a TN Avircata V"/>
    <m/>
    <s v="Eventual "/>
    <m/>
    <m/>
    <s v="22 A 6 HS por eventual vacaciones"/>
    <s v="SANATORIO"/>
    <d v="2026-01-27T00:00:00"/>
    <d v="2026-02-02T00:00:00"/>
    <m/>
    <m/>
    <s v="ARIEL GUTIERREZ"/>
    <s v="$1.333.887,91  bruto /        $1.114.788,00 neto"/>
    <s v="122/75"/>
    <s v="No"/>
    <m/>
    <m/>
  </r>
  <r>
    <s v="00074"/>
    <d v="2025-12-31T00:00:00"/>
    <s v="Cerrada"/>
    <x v="0"/>
    <s v="Aprobada"/>
    <m/>
    <s v="No"/>
    <m/>
    <m/>
    <s v="PREPAGA"/>
    <s v="Cobensil SA"/>
    <s v="Ventas Retail"/>
    <s v="Comercial"/>
    <s v="Comercial, ventas y cobranzas"/>
    <s v="VENDEDOR/A"/>
    <s v="Serafin"/>
    <m/>
    <x v="0"/>
    <x v="0"/>
    <m/>
    <m/>
    <m/>
    <s v="Reemplazo"/>
    <m/>
    <s v="MARTINEZ, JOEL SEBASTIAN"/>
    <m/>
    <s v="Inderminado "/>
    <m/>
    <m/>
    <s v="Lunes a Viernes de 10 a 18hs"/>
    <s v="Sede Colegiales (Lacroze 3257)"/>
    <d v="2026-01-22T00:00:00"/>
    <d v="2026-02-03T00:00:00"/>
    <m/>
    <m/>
    <s v="TOROSANTUCCI, ADRIAN"/>
    <s v="$1.271.329,36 bruto /  $1.036.688,00 neto"/>
    <s v="130/75"/>
    <s v="No"/>
    <s v="No"/>
    <s v="03/02/26 iba a ingresar una candidata pero se bajo el dia de la firma, se retoma proceso de busqueda"/>
  </r>
  <r>
    <s v="00075"/>
    <d v="2025-12-31T00:00:00"/>
    <s v="Cerrada"/>
    <x v="0"/>
    <s v="Aprobada"/>
    <m/>
    <m/>
    <m/>
    <m/>
    <s v="Centros Ambulatorios"/>
    <s v="CMM"/>
    <s v="Atención al Paciente"/>
    <s v="Administración"/>
    <s v="Administrativo/a"/>
    <s v="RECEPCIONISTA"/>
    <s v="Facundo De Franco"/>
    <m/>
    <x v="0"/>
    <x v="0"/>
    <m/>
    <m/>
    <m/>
    <s v="Reemplazo"/>
    <m/>
    <s v=" Lourdes Fiori"/>
    <m/>
    <s v="Inderminado "/>
    <m/>
    <m/>
    <s v="Lunes a Viernes de 11 a 20hs."/>
    <s v="Recoleta"/>
    <d v="2026-01-28T00:00:00"/>
    <d v="2026-02-03T00:00:00"/>
    <m/>
    <m/>
    <s v="Yanina Juarez"/>
    <s v="1.169.193,70 bruto / $970.618,83 neto"/>
    <s v="108/75"/>
    <s v="No"/>
    <s v="No"/>
    <s v="23-01 - entrrevista gestor + una candidata backup en preocupacional "/>
  </r>
  <r>
    <s v="00076"/>
    <d v="2026-01-01T00:00:00"/>
    <s v="Cerrada"/>
    <x v="2"/>
    <s v="Aprobada"/>
    <m/>
    <m/>
    <m/>
    <m/>
    <s v="SANATORIO COLEGIALES"/>
    <s v="CIRENDSA"/>
    <s v="Hotelería"/>
    <s v="Internación"/>
    <s v="Servicios Generales"/>
    <s v="MUCAMO/A"/>
    <s v="Valeria Dodero"/>
    <m/>
    <x v="0"/>
    <x v="0"/>
    <m/>
    <m/>
    <m/>
    <s v="Reemplazo"/>
    <m/>
    <s v="1+ Vacaciones TM"/>
    <m/>
    <s v="Eventual "/>
    <m/>
    <m/>
    <s v="6-14 HS"/>
    <s v="SANATORIO"/>
    <d v="2026-01-15T00:00:00"/>
    <d v="2026-01-23T00:00:00"/>
    <m/>
    <m/>
    <s v="WILMA ROJAS"/>
    <s v="$1.052.963,43 bruto /        $875.067,00 neto"/>
    <s v="122/75"/>
    <s v="No"/>
    <s v="No"/>
    <m/>
  </r>
  <r>
    <s v="00077"/>
    <d v="2026-01-01T00:00:00"/>
    <s v="Cerrada"/>
    <x v="2"/>
    <s v="Aprobada"/>
    <m/>
    <m/>
    <m/>
    <m/>
    <s v="SANATORIO COLEGIALES"/>
    <s v="CIRENDSA"/>
    <s v="Cirugía"/>
    <s v="Quirófano"/>
    <s v="Asistencial/Otros"/>
    <s v="INSTRUMENTADOR/A"/>
    <s v="Di Franco"/>
    <m/>
    <x v="0"/>
    <x v="0"/>
    <m/>
    <m/>
    <m/>
    <s v="Reemplazo"/>
    <m/>
    <s v="Vacaciones"/>
    <m/>
    <s v="Eventual "/>
    <m/>
    <m/>
    <s v="Lunes a Sábados 7 a 15 hs. Feriados rotativos."/>
    <s v="SANATORIO"/>
    <d v="2026-01-05T00:00:00"/>
    <d v="2026-01-12T00:00:00"/>
    <m/>
    <m/>
    <s v="CATARINA RENDE"/>
    <s v="$1.478.071,38  bruto /       $1.230.851,50 neto"/>
    <s v="122/75"/>
    <s v="No"/>
    <m/>
    <m/>
  </r>
  <r>
    <s v="00078"/>
    <d v="2026-01-01T00:00:00"/>
    <s v="Cerrada"/>
    <x v="2"/>
    <s v="Aprobada"/>
    <m/>
    <m/>
    <m/>
    <m/>
    <s v="SANATORIO COLEGIALES"/>
    <s v="CIRENDSA"/>
    <s v="Cirugía"/>
    <s v="Quirófano"/>
    <s v="Asistencial/Otros"/>
    <s v="INSTRUMENTADOR/A"/>
    <s v="Di Franco"/>
    <m/>
    <x v="0"/>
    <x v="0"/>
    <m/>
    <m/>
    <m/>
    <s v="Reemplazo"/>
    <m/>
    <s v="Vacaciones"/>
    <m/>
    <s v="Eventual "/>
    <m/>
    <m/>
    <s v="Lunes a Sábados 7 a 15 hs. Feriados rotativos."/>
    <s v="SANATORIO"/>
    <d v="2026-01-05T00:00:00"/>
    <d v="2026-01-12T00:00:00"/>
    <m/>
    <m/>
    <s v="MELANY GUTIERREZ"/>
    <s v="$1.478.071,38  bruto /       $1.230.851,50 neto"/>
    <s v="122/75"/>
    <s v="No"/>
    <m/>
    <s v="23/12 entrevista RRHH + Gestor 26/12 preoc 07/01 Se baja del proceso 9/1 entrevista"/>
  </r>
  <r>
    <s v="00079"/>
    <d v="2026-01-01T00:00:00"/>
    <s v="Cerrada"/>
    <x v="2"/>
    <s v="Aprobada"/>
    <m/>
    <m/>
    <m/>
    <m/>
    <s v="SANATORIO COLEGIALES"/>
    <s v="CIRENDSA"/>
    <s v="Cirugía"/>
    <s v="Quirófano"/>
    <s v="Asistencial/Otros"/>
    <s v="INSTRUMENTADOR/A"/>
    <s v="Di Franco"/>
    <m/>
    <x v="0"/>
    <x v="0"/>
    <m/>
    <m/>
    <m/>
    <s v="Reemplazo"/>
    <m/>
    <s v="Vacaciones"/>
    <m/>
    <s v="Eventual "/>
    <m/>
    <m/>
    <s v="Lunes a Sábados 15 a 23 hs. Feriados rotativos."/>
    <s v="SANATORIO"/>
    <d v="2026-01-05T00:00:00"/>
    <d v="2026-01-19T00:00:00"/>
    <m/>
    <m/>
    <s v="DOLORES VARGAS"/>
    <s v="$1.478.071,38  bruto /       $1.230.851,50 neto"/>
    <s v="122/75"/>
    <s v="No"/>
    <m/>
    <s v="9/1 entrevista RRHH + Gestor "/>
  </r>
  <r>
    <s v="00080"/>
    <d v="2026-01-01T00:00:00"/>
    <s v="Cerrada"/>
    <x v="2"/>
    <s v="Aprobada"/>
    <m/>
    <m/>
    <m/>
    <m/>
    <s v="SANATORIO COLEGIALES"/>
    <s v="CIRENDSA"/>
    <s v="Cirugía"/>
    <s v="Quirófano"/>
    <s v="Asistencial/Otros"/>
    <s v="INSTRUMENTADOR/A"/>
    <s v="Di Franco"/>
    <m/>
    <x v="0"/>
    <x v="0"/>
    <m/>
    <m/>
    <m/>
    <s v="Reemplazo"/>
    <m/>
    <s v="Vacaciones"/>
    <m/>
    <s v="Eventual "/>
    <m/>
    <m/>
    <s v="L A S 15 A 23 HS. FERIADO ROTATIVO"/>
    <s v="SANATORIO"/>
    <d v="2026-02-05T00:00:00"/>
    <d v="2026-02-09T00:00:00"/>
    <m/>
    <m/>
    <s v="ALEJANDRO CANDADO"/>
    <m/>
    <s v="122/75"/>
    <s v="No"/>
    <m/>
    <s v="23/12 entrevista RRHH 26/12 No asiste a entrevista con Gestor "/>
  </r>
  <r>
    <s v="00081"/>
    <d v="2026-01-01T00:00:00"/>
    <s v="Cerrada"/>
    <x v="2"/>
    <s v="Aprobada"/>
    <m/>
    <m/>
    <m/>
    <m/>
    <s v="SANATORIO COLEGIALES"/>
    <s v="CIRENDSA"/>
    <s v="Enfermeria"/>
    <s v="Terapia Intensiva"/>
    <s v="Asistencial/Enfermería"/>
    <s v="Enfermero/a de Terapia Intensiva"/>
    <s v="Alvez"/>
    <m/>
    <x v="0"/>
    <x v="0"/>
    <m/>
    <m/>
    <m/>
    <s v="Reemplazo"/>
    <m/>
    <s v="Vacante TM"/>
    <m/>
    <s v="Plazo Fijo"/>
    <m/>
    <m/>
    <s v="6 A 14 HS"/>
    <s v="SANATORIO"/>
    <d v="2026-02-19T00:00:00"/>
    <d v="2026-02-23T00:00:00"/>
    <m/>
    <m/>
    <s v="SANDRA DAVILA"/>
    <s v="$1.444.204,15  bruto /       $1.205.247,26 neto"/>
    <s v="122/75"/>
    <s v="No"/>
    <m/>
    <m/>
  </r>
  <r>
    <s v="00082"/>
    <d v="2026-01-01T00:00:00"/>
    <s v="Cerrada"/>
    <x v="2"/>
    <s v="Aprobada"/>
    <m/>
    <m/>
    <m/>
    <m/>
    <s v="SANATORIO COLEGIALES"/>
    <s v="CIRENDSA"/>
    <s v="Enfermeria"/>
    <s v="Terapia Intensiva"/>
    <s v="Asistencial/Enfermería"/>
    <s v="Enfermero/a de Terapia Intensiva"/>
    <s v="Alvez"/>
    <m/>
    <x v="0"/>
    <x v="0"/>
    <m/>
    <m/>
    <m/>
    <s v="Reemplazo"/>
    <m/>
    <s v="Vacante TM"/>
    <m/>
    <s v="Plazo Fijo"/>
    <m/>
    <m/>
    <s v="6 A 14 HS"/>
    <s v="SANATORIO"/>
    <d v="2026-02-19T00:00:00"/>
    <d v="2026-02-23T00:00:00"/>
    <m/>
    <m/>
    <s v="SERGIO MARINERO"/>
    <s v="$1.444.204,15  bruto /       $1.205.247,26 neto"/>
    <s v="122/75"/>
    <s v="No"/>
    <m/>
    <m/>
  </r>
  <r>
    <s v="00083"/>
    <d v="2026-01-01T00:00:00"/>
    <s v="Cerrada"/>
    <x v="2"/>
    <s v="Aprobada"/>
    <m/>
    <m/>
    <m/>
    <m/>
    <s v="SANATORIO COLEGIALES"/>
    <s v="CIRENDSA"/>
    <s v="Enfermeria"/>
    <s v="Internación"/>
    <s v="Asistencial/Enfermería"/>
    <s v="Enfermero/a de Internación"/>
    <s v="Alvez"/>
    <m/>
    <x v="0"/>
    <x v="0"/>
    <m/>
    <m/>
    <m/>
    <s v="Reemplazo"/>
    <m/>
    <s v="1+ Vacaciones CM TM"/>
    <m/>
    <s v="Eventual "/>
    <m/>
    <m/>
    <s v="6 A 14 HS por EVENTUAL vacaciones"/>
    <s v="SANATORIO"/>
    <d v="2026-01-15T00:00:00"/>
    <d v="2026-02-02T00:00:00"/>
    <m/>
    <m/>
    <s v="ANA CESPEDES"/>
    <s v="$1.223.571,44  bruto /       $1.024.328,50 neto"/>
    <s v="122/75"/>
    <s v="No"/>
    <m/>
    <m/>
  </r>
  <r>
    <s v="00084"/>
    <d v="2026-01-01T00:00:00"/>
    <s v="Cerrada"/>
    <x v="2"/>
    <s v="Aprobada"/>
    <m/>
    <m/>
    <m/>
    <m/>
    <s v="SANATORIO COLEGIALES"/>
    <s v="CIRENDSA"/>
    <s v="Enfermeria"/>
    <s v="Internación"/>
    <s v="Asistencial/Enfermería"/>
    <s v="Enfermero/a de Internación"/>
    <s v="Alvez"/>
    <m/>
    <x v="0"/>
    <x v="0"/>
    <m/>
    <m/>
    <m/>
    <s v="Reemplazo"/>
    <m/>
    <s v="1+ Vacaciones CM TN"/>
    <m/>
    <s v="Eventual "/>
    <m/>
    <m/>
    <s v="22 a 6 HS por EVENTUAL vacaciones"/>
    <s v="SANATORIO"/>
    <d v="2026-01-28T00:00:00"/>
    <d v="2026-02-02T00:00:00"/>
    <m/>
    <m/>
    <s v="KELLY CARRASCO"/>
    <s v="$1.333.887,91  bruto /       $1.114.788,00 neto"/>
    <s v="122/75"/>
    <s v="No"/>
    <m/>
    <m/>
  </r>
  <r>
    <s v="00085"/>
    <d v="2026-01-01T00:00:00"/>
    <s v="Cerrada"/>
    <x v="2"/>
    <s v="Aprobada"/>
    <m/>
    <m/>
    <m/>
    <m/>
    <s v="SANATORIO COLEGIALES"/>
    <s v="CIRENDSA"/>
    <s v="Enfermeria"/>
    <s v="Área Cerrada"/>
    <s v="Asistencial/Enfermería"/>
    <s v="Enfermero/a de área cerrada (UCO/UTI)"/>
    <s v="Noelia Alvez"/>
    <m/>
    <x v="0"/>
    <x v="0"/>
    <m/>
    <m/>
    <m/>
    <s v="Reemplazo"/>
    <m/>
    <s v="Tapia M"/>
    <m/>
    <s v="Indeterminado "/>
    <m/>
    <m/>
    <s v="TM - 6 a 14 hs"/>
    <s v="SANATORIO"/>
    <d v="2026-04-20T00:00:00"/>
    <d v="2026-04-20T00:00:00"/>
    <s v="Interna"/>
    <m/>
    <s v="GUSTAVO ROCHA"/>
    <s v="Eventual. Se efectiviza el puesto"/>
    <s v="122/75"/>
    <s v="No"/>
    <m/>
    <s v="22/2 Preo No apto por Labo - Se retoma // 27/3 no apto por epilepsia"/>
  </r>
  <r>
    <s v="00086"/>
    <d v="2026-01-02T00:00:00"/>
    <s v="Cerrada"/>
    <x v="2"/>
    <s v="Aprobada"/>
    <m/>
    <m/>
    <m/>
    <m/>
    <s v="SANATORIO COLEGIALES"/>
    <s v="CIRENDSA"/>
    <s v="Cirugía"/>
    <s v="Quirófano"/>
    <s v="Asistencial/Otros"/>
    <s v="Tecnico/a de Hemodinamia"/>
    <s v="Samaja"/>
    <m/>
    <x v="0"/>
    <x v="0"/>
    <m/>
    <m/>
    <m/>
    <s v="Reemplazo"/>
    <m/>
    <s v="Surraco Capdevila"/>
    <m/>
    <s v="Inderminado "/>
    <m/>
    <m/>
    <s v="LUNES A VIERNES 17 A 22 HS. Guardias pasivas a coordinar"/>
    <s v="SANATORIO"/>
    <d v="2026-01-21T00:00:00"/>
    <d v="2026-01-23T00:00:00"/>
    <m/>
    <m/>
    <s v="LIZ MARLENE RODRIGUEZ"/>
    <s v="$1.478.689,81  bruto /       $1.233.525,50 neto"/>
    <s v="122/75"/>
    <s v="No"/>
    <m/>
    <m/>
  </r>
  <r>
    <s v="00087"/>
    <d v="2026-01-02T00:00:00"/>
    <s v="Cerrada"/>
    <x v="2"/>
    <s v="Aprobada"/>
    <m/>
    <m/>
    <m/>
    <m/>
    <s v="SANATORIO COLEGIALES"/>
    <s v="CIRENDSA"/>
    <s v="Admisión"/>
    <s v="Consultorios Externos"/>
    <s v="Administrativo/a"/>
    <s v="ADMISIONISTA"/>
    <s v="Gomez"/>
    <m/>
    <x v="0"/>
    <x v="0"/>
    <m/>
    <m/>
    <m/>
    <s v="Reemplazo"/>
    <m/>
    <s v="Pase a DICOM - Colombo"/>
    <m/>
    <s v="Plazo Fijo"/>
    <m/>
    <m/>
    <s v="Lunes a Viernes 14 a 20 hs. Sábado por medio 7 a 13 hs"/>
    <s v="SANATORIO"/>
    <d v="2026-01-15T00:00:00"/>
    <d v="2026-01-23T00:00:00"/>
    <m/>
    <m/>
    <s v="MARIA LAURA BLOCH"/>
    <s v="$842.805,08 bruto /        $697.077,50 neto"/>
    <s v="122/75"/>
    <s v="No"/>
    <m/>
    <m/>
  </r>
  <r>
    <s v="00088"/>
    <d v="2026-01-02T00:00:00"/>
    <s v="Cerrada"/>
    <x v="2"/>
    <s v="Aprobada"/>
    <m/>
    <m/>
    <m/>
    <m/>
    <s v="SANATORIO COLEGIALES"/>
    <s v="CIRENDSA"/>
    <s v="Admisión"/>
    <s v="Consultorios Externos"/>
    <s v="Administrativo/a"/>
    <s v="ADMISIONISTA"/>
    <s v="Gomez"/>
    <m/>
    <x v="0"/>
    <x v="0"/>
    <m/>
    <m/>
    <m/>
    <s v="Reemplazo"/>
    <m/>
    <s v="Pase a DICOM - Acuña"/>
    <m/>
    <s v="Plazo Fijo"/>
    <m/>
    <m/>
    <s v="Lunes a Viernes 14 a 20 hs. Sábado por medio 7 a 13 hs"/>
    <s v="SANATORIO"/>
    <d v="2026-01-15T00:00:00"/>
    <d v="2026-01-23T00:00:00"/>
    <m/>
    <m/>
    <s v="LUCILA BELEN CORTES"/>
    <s v="$842.805,08 bruto /        $697.077,50 neto"/>
    <s v="122/75"/>
    <s v="No"/>
    <m/>
    <m/>
  </r>
  <r>
    <s v="00089"/>
    <d v="2026-01-02T00:00:00"/>
    <s v="Cerrada"/>
    <x v="2"/>
    <s v="Aprobada"/>
    <m/>
    <m/>
    <m/>
    <m/>
    <s v="SANATORIO COLEGIALES"/>
    <s v="CIRENDSA"/>
    <s v="Hotelería"/>
    <s v="Internación"/>
    <s v="Servicios Generales"/>
    <s v="PEON"/>
    <s v="Valeria Dodero"/>
    <m/>
    <x v="0"/>
    <x v="0"/>
    <m/>
    <m/>
    <m/>
    <s v="Reemplazo"/>
    <m/>
    <s v="Gutierrez M"/>
    <m/>
    <s v="Plazo Fijo"/>
    <m/>
    <m/>
    <s v="22 A 6 HS. 1 franco semanal rotativo entre Sábado y Domingo."/>
    <s v="SANATORIO"/>
    <d v="2026-01-19T00:00:00"/>
    <d v="2026-01-23T00:00:00"/>
    <m/>
    <m/>
    <s v="FACUNDO OSORIO"/>
    <s v="$1.169.271,41  bruto /       $979.802,50 neto"/>
    <s v="122/75"/>
    <s v="No"/>
    <m/>
    <m/>
  </r>
  <r>
    <s v="00090"/>
    <d v="2026-01-02T00:00:00"/>
    <s v="Cerrada"/>
    <x v="2"/>
    <s v="Aprobada"/>
    <m/>
    <m/>
    <m/>
    <m/>
    <s v="SANATORIO COLEGIALES"/>
    <s v="CIRENDSA"/>
    <s v="Hotelería"/>
    <s v="Internación"/>
    <s v="Servicios Generales"/>
    <s v="PEON"/>
    <s v="Valeria Dodero"/>
    <m/>
    <x v="0"/>
    <x v="0"/>
    <m/>
    <m/>
    <m/>
    <s v="Reemplazo"/>
    <m/>
    <s v="Melillan A"/>
    <m/>
    <s v="Plazo Fijo"/>
    <m/>
    <m/>
    <s v="22 A 6 HS. 1 franco semanal rotativo entre Sábado y Domingo."/>
    <s v="SANATORIO"/>
    <d v="2026-01-19T00:00:00"/>
    <d v="2026-01-23T00:00:00"/>
    <m/>
    <m/>
    <s v="GABRIEL PAIVA"/>
    <s v="$1.169.271,41  bruto /       $979.802,50 neto"/>
    <s v="122/75"/>
    <s v="No"/>
    <m/>
    <m/>
  </r>
  <r>
    <s v="00091"/>
    <d v="2026-01-03T00:00:00"/>
    <s v="Cerrada"/>
    <x v="2"/>
    <s v="Aprobada"/>
    <m/>
    <m/>
    <m/>
    <m/>
    <s v="SANATORIO COLEGIALES"/>
    <s v="CIRENDSA"/>
    <s v="Hotelería"/>
    <s v="Internación"/>
    <s v="Servicios Generales"/>
    <s v="MUCAMO/A"/>
    <s v="Valeria Dodero"/>
    <m/>
    <x v="0"/>
    <x v="0"/>
    <m/>
    <m/>
    <m/>
    <s v="Reemplazo"/>
    <m/>
    <s v="Luna E"/>
    <m/>
    <s v="Plazo Fijo"/>
    <m/>
    <m/>
    <s v="14-22 HS"/>
    <s v="SANATORIO"/>
    <d v="2026-01-06T00:00:00"/>
    <d v="2026-01-19T00:00:00"/>
    <m/>
    <m/>
    <s v="EVA MARIA PEREZ"/>
    <s v="$1.000.154,62  BRUTO /  $830.004,50 NETO"/>
    <s v="122/75"/>
    <s v="No"/>
    <m/>
    <m/>
  </r>
  <r>
    <s v="00092"/>
    <d v="2026-01-03T00:00:00"/>
    <s v="Cerrada"/>
    <x v="2"/>
    <s v="Aprobada"/>
    <m/>
    <m/>
    <m/>
    <m/>
    <s v="SANATORIO COLEGIALES"/>
    <s v="CIRENDSA"/>
    <s v="Hotelería"/>
    <s v="Internación"/>
    <s v="Servicios Generales"/>
    <s v="MUCAMO/A"/>
    <s v="Valeria Dodero"/>
    <m/>
    <x v="0"/>
    <x v="0"/>
    <m/>
    <m/>
    <m/>
    <s v="Reemplazo"/>
    <m/>
    <s v="Lescano C"/>
    <m/>
    <s v="Plazo Fijo"/>
    <m/>
    <m/>
    <s v="14-22 HS"/>
    <s v="SANATORIO"/>
    <d v="2026-01-15T00:00:00"/>
    <d v="2026-01-23T00:00:00"/>
    <m/>
    <m/>
    <s v="ERICA GONZALEZ"/>
    <s v="$1.052.963,43  bruto /       $875.067,00 neto"/>
    <s v="122/75"/>
    <s v="No"/>
    <m/>
    <s v="16/1 Ant penales. Se retoma"/>
  </r>
  <r>
    <s v="00093"/>
    <d v="2026-01-03T00:00:00"/>
    <s v="Cerrada"/>
    <x v="2"/>
    <s v="Aprobada"/>
    <m/>
    <m/>
    <m/>
    <m/>
    <s v="SANATORIO COLEGIALES"/>
    <s v="CIRENDSA"/>
    <s v="Hotelería"/>
    <s v="Internación"/>
    <s v="Servicios Generales"/>
    <s v="MUCAMO/A"/>
    <s v="Valeria Dodero"/>
    <m/>
    <x v="0"/>
    <x v="0"/>
    <m/>
    <m/>
    <m/>
    <s v="Reemplazo"/>
    <m/>
    <s v="Sainz Y"/>
    <m/>
    <s v="Plazo Fijo"/>
    <m/>
    <m/>
    <s v="14-22 HS"/>
    <s v="SANATORIO"/>
    <d v="2026-01-06T00:00:00"/>
    <d v="2026-01-19T00:00:00"/>
    <m/>
    <m/>
    <s v="ALDANA AGUIRRE"/>
    <s v="$1.000.154,62  BRUTO /  $830.004,50 NETO"/>
    <s v="122/75"/>
    <s v="No"/>
    <m/>
    <m/>
  </r>
  <r>
    <s v="00094"/>
    <d v="2026-01-05T00:00:00"/>
    <s v="Cerrada"/>
    <x v="0"/>
    <s v="Aprobada"/>
    <m/>
    <m/>
    <m/>
    <m/>
    <s v="CMV"/>
    <s v="CMV"/>
    <s v="Sistemas"/>
    <s v="Sistemas"/>
    <s v="Analista IT"/>
    <s v="Soporte Tecnico"/>
    <s v="Marcelo Engel"/>
    <m/>
    <x v="0"/>
    <x v="0"/>
    <m/>
    <s v="Baja"/>
    <s v="Media"/>
    <s v="Reemplazo"/>
    <m/>
    <s v="Pablo Cammi"/>
    <m/>
    <s v="Inderminado "/>
    <m/>
    <m/>
    <s v="Lunes a Viernes de 13 a 21hs y Sábado por medio de 8 a 13hs (45hs semanales)"/>
    <s v="Vilella"/>
    <d v="2026-02-24T00:00:00"/>
    <d v="2026-03-09T00:00:00"/>
    <s v="Externa"/>
    <m/>
    <s v="Santiago Lloveras"/>
    <s v="$1.504.151,39 bruto /  1.229.258,00 neto"/>
    <s v="130/75"/>
    <s v="No"/>
    <s v="No"/>
    <s v="4 candidatos enviados a Marcelo . Marcelo va evaluar la posibilidad de mejorar la propuesta economica ya que el horario es complejo. Entrevista con candidato por parte de rrh el 27-01-26. 29-01 entrevista con Engel. Se avanza a preoc"/>
  </r>
  <r>
    <s v="00095"/>
    <d v="2026-01-05T00:00:00"/>
    <s v="Cerrada"/>
    <x v="2"/>
    <s v="Aprobada"/>
    <m/>
    <m/>
    <m/>
    <m/>
    <s v="SANATORIO COLEGIALES"/>
    <s v="CIRENDSA"/>
    <s v="Admisión"/>
    <s v="Consultorios Externos"/>
    <s v="Administrativo/a"/>
    <s v="ADMISIONISTA"/>
    <s v="Gomez"/>
    <m/>
    <x v="0"/>
    <x v="0"/>
    <m/>
    <m/>
    <m/>
    <s v="Reemplazo"/>
    <m/>
    <s v="Molina J"/>
    <m/>
    <s v="Plazo Fijo"/>
    <m/>
    <m/>
    <s v="Lunes a Viernes 14 a 20 hs. Sábado por medio 7 a 13 hs"/>
    <s v="SANATORIO"/>
    <d v="2026-01-15T00:00:00"/>
    <d v="2026-01-23T00:00:00"/>
    <m/>
    <m/>
    <s v="MARIA BELEN CAVALLERO"/>
    <s v="$842.805,08 bruto /        $697.077,50 neto"/>
    <s v="122/75"/>
    <s v="No"/>
    <m/>
    <m/>
  </r>
  <r>
    <s v="00096"/>
    <d v="2026-01-06T00:00:00"/>
    <s v="Cerrada"/>
    <x v="2"/>
    <s v="Aprobada"/>
    <m/>
    <m/>
    <m/>
    <m/>
    <s v="CORPO"/>
    <s v="Healthnes"/>
    <s v="Contact Center"/>
    <s v="Operaciones"/>
    <s v="Administrativo/a"/>
    <s v="Operador call center"/>
    <s v="Aste"/>
    <m/>
    <x v="0"/>
    <x v="0"/>
    <m/>
    <m/>
    <m/>
    <s v="Reemplazo"/>
    <m/>
    <s v="Muñoz M"/>
    <m/>
    <s v="Plazo Fijo"/>
    <m/>
    <m/>
    <s v="Lunes a Viernes 13 a 18 hs. Sábados 9 a 14 hs (25 hs)"/>
    <s v="CONTACT CENTER"/>
    <d v="2026-02-10T00:00:00"/>
    <d v="2026-02-23T00:00:00"/>
    <m/>
    <m/>
    <s v="NICOLE ALMARAZ"/>
    <s v="$710.649,96 bruto / $567.231,00 neto"/>
    <s v="130/75"/>
    <s v="No"/>
    <m/>
    <m/>
  </r>
  <r>
    <s v="00097"/>
    <d v="2026-01-07T00:00:00"/>
    <s v="Cerrada"/>
    <x v="0"/>
    <s v="Aprobada"/>
    <m/>
    <s v="No"/>
    <m/>
    <m/>
    <s v="PREPAGA"/>
    <s v="Cobensil SA"/>
    <s v="Ventas Retail"/>
    <s v="Comercial"/>
    <s v="Comercial, ventas y cobranzas"/>
    <s v="VENDEDOR/A"/>
    <s v="Serafin"/>
    <m/>
    <x v="0"/>
    <x v="0"/>
    <m/>
    <m/>
    <m/>
    <s v="Reemplazo"/>
    <m/>
    <s v="PUPPO, MARIA ALICIA"/>
    <m/>
    <s v="Inderminado "/>
    <m/>
    <m/>
    <s v="Lunes a Viernes de 10 a 18hs"/>
    <s v="Sede de Vicente Lopez (Av. Maipu 1680) "/>
    <d v="2026-01-22T00:00:00"/>
    <d v="2026-02-03T00:00:00"/>
    <m/>
    <m/>
    <s v="Aimar Thais Navas"/>
    <s v="$1.271.329,36 bruto /  $1.036.688,00 neto"/>
    <s v="130/75"/>
    <s v="No"/>
    <s v="No"/>
    <m/>
  </r>
  <r>
    <s v="00098"/>
    <d v="2026-01-07T00:00:00"/>
    <s v="Cerrada"/>
    <x v="0"/>
    <s v="Aprobada"/>
    <m/>
    <s v="No"/>
    <m/>
    <m/>
    <s v="PREPAGA"/>
    <s v="Cobensil SA"/>
    <s v="Ventas Retail"/>
    <s v="Comercial"/>
    <s v="Comercial, ventas y cobranzas"/>
    <s v="VENDEDOR/A"/>
    <s v="Serafin"/>
    <m/>
    <x v="0"/>
    <x v="0"/>
    <m/>
    <m/>
    <m/>
    <s v="Reemplazo"/>
    <m/>
    <s v="WARIDEL, MOIRA BELEN"/>
    <m/>
    <s v="Inderminado "/>
    <m/>
    <m/>
    <s v="Lunes a Viernes de 10 a 18hs"/>
    <s v="Sede Colegiales (Lacroze 3257)"/>
    <d v="2026-02-04T00:00:00"/>
    <d v="2026-02-10T00:00:00"/>
    <m/>
    <m/>
    <s v="MEABE BRANDA, MARIA PAULA"/>
    <s v="$1.271.329,36 bruto /  $1.036.688,00 neto"/>
    <s v="130/75"/>
    <s v="No"/>
    <s v="No"/>
    <s v="03/02/26 iba a ingresar una candidata pero se bajo el dia de la firma, se retoma proceso de busqueda"/>
  </r>
  <r>
    <s v="00099"/>
    <d v="2026-01-07T00:00:00"/>
    <s v="Cerrada"/>
    <x v="2"/>
    <s v="Aprobada"/>
    <m/>
    <m/>
    <m/>
    <m/>
    <s v="SANATORIO COLEGIALES"/>
    <s v="CIRENDSA"/>
    <s v="Enfermeria"/>
    <s v="Internación"/>
    <s v="Asistencial/Enfermería"/>
    <s v="Enfermero/a de Internación"/>
    <s v="Alvez"/>
    <m/>
    <x v="0"/>
    <x v="0"/>
    <m/>
    <m/>
    <m/>
    <s v="Reemplazo"/>
    <m/>
    <s v="HERVAS N"/>
    <m/>
    <s v="Eventual "/>
    <m/>
    <m/>
    <s v="22 A 6 HS eventual vacaciones"/>
    <s v="SANATORIO"/>
    <d v="2026-01-27T00:00:00"/>
    <d v="2026-02-02T00:00:00"/>
    <m/>
    <m/>
    <s v="DAIANA LUCERO DIAZ"/>
    <s v="$1.333.887,91 bruto /        $1.114.788,00 neto"/>
    <s v="122/75"/>
    <s v="No"/>
    <m/>
    <m/>
  </r>
  <r>
    <s v="00100"/>
    <d v="2026-01-07T00:00:00"/>
    <s v="Cerrada"/>
    <x v="0"/>
    <s v="Aprobada"/>
    <m/>
    <m/>
    <m/>
    <m/>
    <s v="PREPAGA"/>
    <s v="Bristol Medicine SRL"/>
    <s v="Ventas Retail"/>
    <s v="Comercial"/>
    <s v="Comercial, ventas y cobranzas"/>
    <s v="VENDEDOR/A"/>
    <s v="Serafin"/>
    <m/>
    <x v="0"/>
    <x v="0"/>
    <m/>
    <m/>
    <m/>
    <s v="Reemplazo"/>
    <m/>
    <s v="HEILMAN, ADOLFO DANIEL"/>
    <m/>
    <s v="Inderminado "/>
    <m/>
    <m/>
    <s v="Lunes a Viernes de 10 a 17hs"/>
    <s v="Bristol Cespedes"/>
    <d v="2026-02-05T00:00:00"/>
    <d v="2026-02-18T00:00:00"/>
    <m/>
    <m/>
    <s v="YANES, MATIAS"/>
    <s v="$961.576,34 bruto / $803.391,00 neto"/>
    <s v="108/75"/>
    <s v="No"/>
    <s v="No"/>
    <m/>
  </r>
  <r>
    <s v="00101"/>
    <d v="2026-01-07T00:00:00"/>
    <s v="Cerrada"/>
    <x v="0"/>
    <s v="Aprobada"/>
    <m/>
    <m/>
    <m/>
    <m/>
    <s v="PREPAGA"/>
    <s v="Bristol Medicine SRL"/>
    <s v="Ventas Retail"/>
    <s v="Comercial"/>
    <s v="Comercial, ventas y cobranzas"/>
    <s v="VENDEDOR/A"/>
    <s v="Serafin"/>
    <m/>
    <x v="0"/>
    <x v="0"/>
    <m/>
    <m/>
    <m/>
    <s v="Reemplazo"/>
    <m/>
    <s v="PONCHO HERRERA, GEMENIS YELIANNY"/>
    <m/>
    <s v="Inderminado "/>
    <m/>
    <m/>
    <s v="Lunes a Viernes de 10 a 17hs"/>
    <s v="Bristol Cespedes"/>
    <d v="2026-02-05T00:00:00"/>
    <d v="2026-02-18T00:00:00"/>
    <m/>
    <m/>
    <s v="CARVAJAL, PERLA"/>
    <s v="$961.576,34 bruto / $803.391,00 neto"/>
    <s v="108/75"/>
    <s v="No"/>
    <s v="No"/>
    <m/>
  </r>
  <r>
    <s v="00102"/>
    <d v="2026-01-07T00:00:00"/>
    <s v="Cerrada"/>
    <x v="2"/>
    <s v="Aprobada"/>
    <m/>
    <m/>
    <m/>
    <m/>
    <s v="SANATORIO COLEGIALES"/>
    <s v="CIRENDSA"/>
    <s v="Cirugía"/>
    <s v="Quirófano"/>
    <s v="Asistencial/Otros"/>
    <s v="INSTRUMENTADOR/A"/>
    <s v="Di Franco"/>
    <m/>
    <x v="0"/>
    <x v="0"/>
    <m/>
    <m/>
    <m/>
    <s v="Reemplazo"/>
    <m/>
    <s v="Pertinez J"/>
    <m/>
    <s v="Eventual "/>
    <m/>
    <m/>
    <s v="L A S 15 A 23 HS. FERIADO ROTATIVO"/>
    <s v="SANATORIO"/>
    <d v="2026-02-03T00:00:00"/>
    <d v="2026-02-09T00:00:00"/>
    <m/>
    <m/>
    <s v="STELLA MARIS CARABAJAL"/>
    <m/>
    <s v="122/75"/>
    <s v="No"/>
    <m/>
    <m/>
  </r>
  <r>
    <s v="00103"/>
    <d v="2026-01-07T00:00:00"/>
    <s v="Cerrada"/>
    <x v="2"/>
    <s v="Aprobada"/>
    <m/>
    <m/>
    <m/>
    <m/>
    <s v="SANATORIO COLEGIALES"/>
    <s v="CIRENDSA"/>
    <s v="Enfermeria"/>
    <s v="Internación"/>
    <s v="Asistencial/Enfermería"/>
    <s v="Enfermero/a de Internación"/>
    <s v="Alvez"/>
    <m/>
    <x v="0"/>
    <x v="0"/>
    <m/>
    <m/>
    <m/>
    <s v="Reemplazo"/>
    <m/>
    <s v="Mendoza A"/>
    <m/>
    <s v="Eventual "/>
    <m/>
    <m/>
    <s v="6 A 14 HS eventual vacaciones                "/>
    <s v="SANATORIO"/>
    <d v="2026-01-15T00:00:00"/>
    <d v="2026-02-02T00:00:00"/>
    <m/>
    <m/>
    <s v="ISABEL MAMANI"/>
    <s v="$1.223.571,44  bruto /       $1.024.328,50 neto"/>
    <s v="122/75"/>
    <s v="No"/>
    <m/>
    <m/>
  </r>
  <r>
    <s v="00104"/>
    <d v="2026-01-07T00:00:00"/>
    <s v="Cerrada"/>
    <x v="2"/>
    <s v="Aprobada"/>
    <m/>
    <m/>
    <m/>
    <m/>
    <s v="SANATORIO COLEGIALES"/>
    <s v="CIRENDSA"/>
    <s v="Enfermeria"/>
    <s v="Internación"/>
    <s v="Asistencial/Enfermería"/>
    <s v="Enfermero/a de Internación"/>
    <s v="Alvez"/>
    <m/>
    <x v="0"/>
    <x v="0"/>
    <m/>
    <s v="Baja"/>
    <s v="Media"/>
    <s v="Reemplazo"/>
    <m/>
    <s v="Mazars M"/>
    <m/>
    <s v="Inderminado "/>
    <m/>
    <m/>
    <s v="14 A 22 HS"/>
    <s v="SANATORIO"/>
    <d v="2026-03-11T00:00:00"/>
    <d v="2026-03-20T00:00:00"/>
    <m/>
    <m/>
    <s v="RAQUEL POMASONCCO"/>
    <s v="$1.223.571,44  bruto /       $1.024.328,50 neto"/>
    <s v="122/75"/>
    <s v="No"/>
    <s v="No"/>
    <m/>
  </r>
  <r>
    <s v="00105"/>
    <d v="2026-01-08T00:00:00"/>
    <s v="Cerrada"/>
    <x v="3"/>
    <s v="Aprobada"/>
    <m/>
    <m/>
    <m/>
    <m/>
    <s v="CORPO"/>
    <s v="Cober"/>
    <s v="Gestión de las Personas"/>
    <s v="Administración y Finanzas"/>
    <s v="Analista"/>
    <s v="Analista de Onboarding "/>
    <s v="Ezequiel"/>
    <m/>
    <x v="0"/>
    <x v="0"/>
    <m/>
    <m/>
    <m/>
    <s v="Reemplazo"/>
    <m/>
    <m/>
    <m/>
    <s v="Inderminado "/>
    <m/>
    <m/>
    <s v="8 a 17hs"/>
    <s v="La Musa"/>
    <d v="2026-01-23T00:00:00"/>
    <d v="2026-01-26T00:00:00"/>
    <m/>
    <m/>
    <s v="Mayra Distéfano"/>
    <s v="$1.500.000 neto"/>
    <m/>
    <s v="No"/>
    <s v="No"/>
    <s v="Se netrevistaron 6 candidatos, pasan a entrevista con Sergio Mayra, Juan y Johana el 15 y 16-01, se envia a preo Mayra el 19-01"/>
  </r>
  <r>
    <s v="00106"/>
    <d v="2026-01-08T00:00:00"/>
    <s v="Cerrada"/>
    <x v="2"/>
    <s v="Aprobada"/>
    <m/>
    <m/>
    <m/>
    <m/>
    <s v="SANATORIO COLEGIALES"/>
    <s v="CIRENDSA"/>
    <s v="Enfermeria"/>
    <s v="Internación"/>
    <s v="Asistencial/Enfermería"/>
    <s v="Enfermero/a de Internación"/>
    <s v="Alvez"/>
    <m/>
    <x v="0"/>
    <x v="0"/>
    <m/>
    <s v="Baja"/>
    <s v="Media"/>
    <s v="Reemplazo"/>
    <m/>
    <s v="Lavadenz D"/>
    <m/>
    <s v="Inderminado "/>
    <m/>
    <m/>
    <s v="14 A 22 HS"/>
    <s v="SANATORIO"/>
    <d v="2026-03-11T00:00:00"/>
    <d v="2026-03-20T00:00:00"/>
    <m/>
    <m/>
    <s v="JOHANNA HUARACHI"/>
    <s v="$1.223.571,44  bruto /       $1.024.328,50 neto"/>
    <s v="122/75"/>
    <s v="No"/>
    <s v="No"/>
    <s v="CM TT"/>
  </r>
  <r>
    <s v="00107"/>
    <d v="2026-01-09T00:00:00"/>
    <s v="Cerrada"/>
    <x v="2"/>
    <s v="Aprobada"/>
    <m/>
    <m/>
    <m/>
    <m/>
    <s v="SANATORIO COLEGIALES"/>
    <s v="CIRENDSA"/>
    <s v="Hotelería"/>
    <s v="Internación"/>
    <s v="Servicios Generales"/>
    <s v="MUCAMO/A"/>
    <s v="Valeria Dodero"/>
    <m/>
    <x v="0"/>
    <x v="0"/>
    <m/>
    <m/>
    <m/>
    <s v="Reemplazo"/>
    <m/>
    <s v="Aprea C"/>
    <m/>
    <s v="Plazo Fijo"/>
    <m/>
    <m/>
    <s v="14-22 HS"/>
    <s v="SANATORIO"/>
    <d v="2026-01-15T00:00:00"/>
    <d v="2026-01-23T00:00:00"/>
    <m/>
    <m/>
    <s v="YESICA MATURANO"/>
    <s v="$1.052.963,43  bruto /       $875.067,00 neto"/>
    <s v="122/75"/>
    <s v="No"/>
    <m/>
    <m/>
  </r>
  <r>
    <s v="00108"/>
    <d v="2026-01-09T00:00:00"/>
    <s v="Cerrada"/>
    <x v="2"/>
    <s v="Aprobada"/>
    <m/>
    <m/>
    <m/>
    <m/>
    <s v="SANATORIO COLEGIALES"/>
    <s v="CIRENDSA"/>
    <s v="Enfermeria"/>
    <s v="Terapia Intensiva"/>
    <s v="Asistencial/Enfermería"/>
    <s v="Enfermero/a de Terapia Intensiva"/>
    <s v="Alvez"/>
    <m/>
    <x v="0"/>
    <x v="0"/>
    <m/>
    <m/>
    <m/>
    <s v="Reemplazo"/>
    <m/>
    <s v="Vacante TM"/>
    <m/>
    <s v="Plazo Fijo"/>
    <m/>
    <m/>
    <s v="6 A 14 HS"/>
    <s v="SANATORIO"/>
    <d v="2026-02-19T00:00:00"/>
    <d v="2026-02-23T00:00:00"/>
    <m/>
    <m/>
    <s v="SOFIA PTASIK"/>
    <s v="$1.444.204,15  bruto /       $1.205.247,26 neto"/>
    <s v="122/75"/>
    <s v="No"/>
    <m/>
    <m/>
  </r>
  <r>
    <s v="00109"/>
    <d v="2026-01-11T00:00:00"/>
    <s v="Cerrada"/>
    <x v="2"/>
    <s v="Aprobada"/>
    <m/>
    <m/>
    <m/>
    <m/>
    <s v="SANATORIO COLEGIALES"/>
    <s v="CIRENDSA"/>
    <s v="Hotelería"/>
    <s v="Internación"/>
    <s v="Servicios Generales"/>
    <s v="MUCAMO/A"/>
    <s v="Valeria Dodero"/>
    <m/>
    <x v="0"/>
    <x v="0"/>
    <m/>
    <m/>
    <m/>
    <s v="Reemplazo"/>
    <m/>
    <s v="Vacaciones"/>
    <m/>
    <s v="Eventual "/>
    <m/>
    <m/>
    <s v="6-14 HS eventual por vacaciones"/>
    <s v="SANATORIO"/>
    <d v="2026-01-15T00:00:00"/>
    <d v="2026-02-09T00:00:00"/>
    <m/>
    <m/>
    <s v="YANINA TORREZ"/>
    <s v="$1.052.963,43  bruto /       $875.067,00 neto"/>
    <s v="122/75"/>
    <s v="No"/>
    <m/>
    <m/>
  </r>
  <r>
    <s v="00110"/>
    <d v="2026-01-12T00:00:00"/>
    <s v="Cerrada"/>
    <x v="2"/>
    <s v="Aprobada"/>
    <m/>
    <m/>
    <m/>
    <m/>
    <s v="SANATORIO COLEGIALES"/>
    <s v="CIRENDSA"/>
    <s v="Cirugía"/>
    <s v="Quirófano"/>
    <s v="Asistencial/Enfermería"/>
    <s v="Enfermero/a de Quirófano"/>
    <s v="Alvez"/>
    <m/>
    <x v="0"/>
    <x v="0"/>
    <m/>
    <m/>
    <m/>
    <s v="Reemplazo"/>
    <m/>
    <s v="Acosta F/Terrazas Branko"/>
    <m/>
    <s v="Plazo Fijo"/>
    <m/>
    <m/>
    <s v="Lunes a Sábados 15 a 23 hs"/>
    <s v="SANATORIO"/>
    <d v="2026-02-19T00:00:00"/>
    <d v="2026-02-23T00:00:00"/>
    <m/>
    <m/>
    <s v="LUISA SANDOVAL"/>
    <s v="$1.481.645,21 bruto /        $1.235.949,00 neto"/>
    <s v="122/75"/>
    <s v="No"/>
    <m/>
    <s v="16/1 entrevista"/>
  </r>
  <r>
    <s v="00111"/>
    <d v="2026-01-13T00:00:00"/>
    <n v="105"/>
    <x v="4"/>
    <s v="Aprobada"/>
    <m/>
    <s v="Si"/>
    <m/>
    <m/>
    <s v="CORPO"/>
    <m/>
    <s v="Comunicación"/>
    <s v="Marketing"/>
    <s v="Liderazgo"/>
    <s v="Gerente/a de Marketing"/>
    <s v="Emilio Zalis"/>
    <s v="Maria Rodriguez"/>
    <x v="2"/>
    <x v="2"/>
    <d v="2026-06-15T00:00:00"/>
    <s v="Alta"/>
    <s v="Alta "/>
    <s v="Reemplazo"/>
    <m/>
    <s v="Verónica Casati"/>
    <m/>
    <s v="Inderminado "/>
    <m/>
    <m/>
    <m/>
    <m/>
    <m/>
    <m/>
    <m/>
    <m/>
    <m/>
    <m/>
    <m/>
    <m/>
    <m/>
    <s v="18/11 entrevista María Rodríguez / se vuelve a alinear el perfil. hunting en linkedIn/ EL 15/12 entrevistamos 2do candidato para presentar a Emilio, 16/12 Emilió quedó en planificar entrevista con candidato, según maria. 19/12 aún no se ha dado la segunda entrevista"/>
  </r>
  <r>
    <s v="00112"/>
    <d v="2026-01-13T00:00:00"/>
    <s v="Cerrada"/>
    <x v="1"/>
    <s v="Aprobada"/>
    <m/>
    <m/>
    <m/>
    <m/>
    <s v="CMD"/>
    <s v="Deragopyan"/>
    <s v="Laboratorio"/>
    <s v="Servicios de Apoyo"/>
    <s v="Asistencial/Otros"/>
    <s v="BIOQUIMICO/A"/>
    <s v="Rocio Scarcelli"/>
    <m/>
    <x v="0"/>
    <x v="0"/>
    <m/>
    <m/>
    <m/>
    <s v="Reemplazo"/>
    <m/>
    <s v="Eliana Ferola"/>
    <m/>
    <s v="Plazo Fijo"/>
    <m/>
    <m/>
    <s v="L a V de 09h a 15h, Sábado de 8h a 12h"/>
    <s v="Belgrano "/>
    <m/>
    <d v="2026-02-23T00:00:00"/>
    <m/>
    <m/>
    <s v="Moreangelys Evia"/>
    <n v="2291699.17"/>
    <m/>
    <s v="Ok"/>
    <m/>
    <m/>
  </r>
  <r>
    <s v="00113"/>
    <d v="2026-01-13T00:00:00"/>
    <n v="105"/>
    <x v="4"/>
    <s v="Aprobada"/>
    <m/>
    <s v="Si"/>
    <s v="No"/>
    <m/>
    <s v="PREPAGA"/>
    <m/>
    <s v="Business Inteligence"/>
    <s v="Administración y Finanzas"/>
    <s v="Liderazgo"/>
    <s v="Líder de Datos y Negocios Digitales"/>
    <s v="Ignacio Jauregui"/>
    <s v="Maria Rodriguez"/>
    <x v="2"/>
    <x v="3"/>
    <d v="2026-06-15T00:00:00"/>
    <s v="Alta"/>
    <s v="Alta "/>
    <s v="Apertura de puesto"/>
    <m/>
    <m/>
    <m/>
    <s v="Inderminado "/>
    <m/>
    <m/>
    <m/>
    <m/>
    <m/>
    <m/>
    <m/>
    <m/>
    <m/>
    <m/>
    <m/>
    <m/>
    <m/>
    <s v="Cuadro reemplazo de Ignacio Jauregui"/>
  </r>
  <r>
    <s v="00114"/>
    <d v="2026-01-13T00:00:00"/>
    <n v="105"/>
    <x v="0"/>
    <s v="Aprobada"/>
    <m/>
    <m/>
    <m/>
    <m/>
    <s v="SANATORIO COLEGIALES"/>
    <m/>
    <s v="Mantenimiento"/>
    <s v="Servicios de Apoyo"/>
    <s v="Mantenimiento y obras"/>
    <s v="OFICIAL DE MANTENIMIENTO"/>
    <s v="Erika Rodriguez"/>
    <m/>
    <x v="3"/>
    <x v="4"/>
    <d v="2026-05-11T00:00:00"/>
    <s v="Baja"/>
    <s v="Alta "/>
    <s v="Reemplazo"/>
    <m/>
    <s v="GALLARDO, JULIO RODRIGO (156867)"/>
    <m/>
    <s v="Inderminado "/>
    <m/>
    <m/>
    <s v="Lunes a Sábados de 14 a 21hs"/>
    <s v="Sanatorio "/>
    <d v="2026-03-26T00:00:00"/>
    <d v="2026-04-01T00:00:00"/>
    <s v="Externa"/>
    <m/>
    <m/>
    <s v="$1.296.567,92 bruto / $1.083.341,50 neto"/>
    <m/>
    <s v="No"/>
    <s v="No"/>
    <s v="Se envia a preoc a candidato el 18/2, se lo recita para que realice rayos"/>
  </r>
  <r>
    <s v="00115"/>
    <d v="2026-01-13T00:00:00"/>
    <s v="Cerrada"/>
    <x v="2"/>
    <s v="Aprobada"/>
    <m/>
    <m/>
    <m/>
    <m/>
    <s v="SANATORIO COLEGIALES"/>
    <m/>
    <s v="Clínica Médica"/>
    <s v="Clinica Medica"/>
    <s v="Asistencial/Médicos"/>
    <s v="MEDICO/A"/>
    <s v="Barone"/>
    <m/>
    <x v="4"/>
    <x v="5"/>
    <m/>
    <m/>
    <m/>
    <s v="Reemplazo"/>
    <m/>
    <s v="Goldstein G"/>
    <m/>
    <s v="Inderminado "/>
    <m/>
    <m/>
    <m/>
    <s v="SANATORIO"/>
    <m/>
    <m/>
    <m/>
    <m/>
    <m/>
    <m/>
    <m/>
    <m/>
    <m/>
    <s v="16/1 entrevista"/>
  </r>
  <r>
    <s v="00116"/>
    <d v="2026-01-14T00:00:00"/>
    <s v="Cerrada"/>
    <x v="1"/>
    <s v="Aprobada"/>
    <m/>
    <m/>
    <m/>
    <m/>
    <s v="CORPO"/>
    <s v="Cobensil"/>
    <s v="Performance"/>
    <s v="Marketing"/>
    <s v="Analista"/>
    <s v="Analista de performace"/>
    <s v="Atili"/>
    <m/>
    <x v="0"/>
    <x v="0"/>
    <m/>
    <s v="Media "/>
    <s v="Alta "/>
    <s v="Reemplazo"/>
    <m/>
    <s v="Sofia Kantorowikcs "/>
    <m/>
    <s v="Inderminado "/>
    <m/>
    <m/>
    <s v="L a V de 09h a 18h"/>
    <s v="Cramer"/>
    <d v="2026-03-02T00:00:00"/>
    <d v="2026-03-09T00:00:00"/>
    <s v="Externa"/>
    <s v="Computrabajo "/>
    <s v="Jasmín Rojas Canchi"/>
    <s v="1.500.000 netos"/>
    <s v="FUCO"/>
    <s v="Ok"/>
    <m/>
    <m/>
  </r>
  <r>
    <s v="00117"/>
    <d v="2026-01-14T00:00:00"/>
    <s v="Cerrada"/>
    <x v="2"/>
    <s v="Aprobada"/>
    <m/>
    <m/>
    <m/>
    <m/>
    <s v="SANATORIO COLEGIALES"/>
    <s v="CIRENDSA"/>
    <s v="Enfermeria"/>
    <s v="INTERNACION"/>
    <s v="Asistencial/Enfermería"/>
    <s v="Enfermero/a de Internación"/>
    <s v="Noelia Alvez"/>
    <m/>
    <x v="0"/>
    <x v="0"/>
    <m/>
    <s v="Baja"/>
    <s v="Alta "/>
    <s v="Reemplazo"/>
    <m/>
    <s v="Sanjines Fabiola"/>
    <m/>
    <s v="Inderminado "/>
    <m/>
    <m/>
    <s v="TM - 6 a 14 hs"/>
    <s v="SANATORIO"/>
    <d v="2026-03-23T00:00:00"/>
    <d v="2026-04-08T00:00:00"/>
    <m/>
    <m/>
    <s v="JESSICA LOPEZ"/>
    <s v="$1.223.571,44  bruto /       $1.024.328,50 neto"/>
    <s v="122/75"/>
    <s v="No"/>
    <s v="No"/>
    <s v="CM TM"/>
  </r>
  <r>
    <s v="00118"/>
    <d v="2026-01-14T00:00:00"/>
    <s v="Cerrada"/>
    <x v="2"/>
    <s v="Aprobada"/>
    <m/>
    <m/>
    <m/>
    <m/>
    <s v="SANATORIO COLEGIALES"/>
    <s v="CIRENDSA"/>
    <s v="Enfermeria"/>
    <s v="INTERNACION"/>
    <s v="Asistencial/Enfermería"/>
    <s v="Enfermero/a de Internación"/>
    <s v="Noelia Alvez"/>
    <m/>
    <x v="0"/>
    <x v="0"/>
    <m/>
    <s v="Baja"/>
    <s v="Alta "/>
    <s v="Reemplazo"/>
    <m/>
    <s v="Ordoñez Juan Pablo "/>
    <m/>
    <s v="Inderminado "/>
    <m/>
    <m/>
    <s v="TT - 14 a 22 hs"/>
    <s v="SANATORIO"/>
    <d v="2026-03-23T00:00:00"/>
    <d v="2026-04-08T00:00:00"/>
    <m/>
    <m/>
    <s v="VIRGINIA AYALA"/>
    <s v="$1.223.571,44  bruto /       $1.024.328,50 neto"/>
    <s v="122/75"/>
    <s v="No"/>
    <s v="No"/>
    <s v="CM TT"/>
  </r>
  <r>
    <s v="00119"/>
    <d v="2026-01-15T00:00:00"/>
    <s v="Cerrada"/>
    <x v="0"/>
    <s v="Cancelada"/>
    <m/>
    <m/>
    <m/>
    <m/>
    <s v="SANATORIO COLEGIALES"/>
    <m/>
    <s v="Comercial"/>
    <s v="Administración y Finanzas"/>
    <s v="Comercial, ventas y cobranzas"/>
    <s v="Ejecutivo Comercial"/>
    <s v="Poeta"/>
    <m/>
    <x v="1"/>
    <x v="1"/>
    <m/>
    <m/>
    <m/>
    <s v="Reemplazo"/>
    <m/>
    <s v="Camila Espindola"/>
    <m/>
    <s v="Inderminado "/>
    <m/>
    <m/>
    <m/>
    <m/>
    <m/>
    <m/>
    <m/>
    <m/>
    <m/>
    <m/>
    <m/>
    <m/>
    <m/>
    <m/>
  </r>
  <r>
    <s v="00120"/>
    <d v="2026-01-16T00:00:00"/>
    <s v="Cerrada"/>
    <x v="0"/>
    <s v="Aprobada"/>
    <m/>
    <m/>
    <m/>
    <m/>
    <s v="SANATORIO COLEGIALES"/>
    <s v="CIRENDSA"/>
    <s v="Mantenimiento"/>
    <s v="Servicios de Apoyo"/>
    <s v="Mantenimiento y obras"/>
    <s v="OFICIAL DE MANTENIMIENTO"/>
    <s v="Erika"/>
    <m/>
    <x v="0"/>
    <x v="0"/>
    <m/>
    <m/>
    <m/>
    <s v="Reemplazo"/>
    <m/>
    <s v="Braian Miguel Rojas"/>
    <m/>
    <s v="Plazo Fijo"/>
    <m/>
    <m/>
    <s v="Lunes a Sabados de 14 a 22hs"/>
    <s v="SANATORIO"/>
    <d v="2026-02-12T00:00:00"/>
    <d v="2026-02-23T00:00:00"/>
    <m/>
    <m/>
    <s v="SABALA SANTIAGO LIONEL"/>
    <s v="$1.296.567,92 bruto / $1.083.341,50 neto"/>
    <s v="122/75"/>
    <s v="No"/>
    <s v="No"/>
    <m/>
  </r>
  <r>
    <s v="00121"/>
    <d v="2026-01-23T00:00:00"/>
    <s v="Cerrada"/>
    <x v="2"/>
    <s v="Aprobada"/>
    <m/>
    <m/>
    <m/>
    <m/>
    <s v="SANATORIO COLEGIALES"/>
    <s v="CIRENDSA"/>
    <s v="Enfermeria"/>
    <s v="Internación"/>
    <s v="Asistencial/Enfermería"/>
    <s v="Enfermero/a de Internación"/>
    <s v="Alvez"/>
    <m/>
    <x v="0"/>
    <x v="0"/>
    <m/>
    <m/>
    <m/>
    <s v="Reemplazo"/>
    <m/>
    <s v="Gomez S - Vacaciones"/>
    <m/>
    <s v="Eventual "/>
    <m/>
    <m/>
    <s v="22 A 6 HS eventual vacaciones"/>
    <s v="SANATORIO"/>
    <d v="2026-01-27T00:00:00"/>
    <d v="2026-02-02T00:00:00"/>
    <m/>
    <m/>
    <s v="AUDREY PULIDO"/>
    <s v="$1.333.887,91  bruto /       $1.114.788,00 neto"/>
    <s v="122/75"/>
    <s v="No"/>
    <m/>
    <m/>
  </r>
  <r>
    <s v="00122"/>
    <d v="2026-01-23T00:00:00"/>
    <s v="Cerrada"/>
    <x v="0"/>
    <s v="Aprobada"/>
    <m/>
    <m/>
    <m/>
    <m/>
    <s v="PREPAGA"/>
    <s v="Cobensil"/>
    <s v="Cobranzas"/>
    <s v="Administración y Finanzas"/>
    <s v="Comercial, ventas y cobranzas"/>
    <s v="Cobrador/a"/>
    <s v="Florencia Rodriguez"/>
    <m/>
    <x v="0"/>
    <x v="0"/>
    <m/>
    <s v="Baja"/>
    <s v="Media"/>
    <s v="Reemplazo"/>
    <m/>
    <s v="Montserrat Diaz "/>
    <m/>
    <s v="Inderminado "/>
    <m/>
    <m/>
    <s v="Lunes a Viernes de 11h a 20hs, Sábado x medio de 9 a 13hs (Full Time)"/>
    <s v="Ravignani"/>
    <d v="2026-03-13T00:00:00"/>
    <d v="2026-04-06T00:00:00"/>
    <m/>
    <m/>
    <s v="Gabriel de Jesus Villegas Hernandez"/>
    <s v="$1.264.501,68 bruto / $1.036.340,00 neto"/>
    <s v="130/75"/>
    <s v="No"/>
    <s v="No"/>
    <m/>
  </r>
  <r>
    <s v="00123"/>
    <d v="2026-01-24T00:00:00"/>
    <s v="Cerrada"/>
    <x v="2"/>
    <s v="Aprobada"/>
    <m/>
    <m/>
    <m/>
    <m/>
    <s v="SANATORIO COLEGIALES"/>
    <s v="CIRENDSA"/>
    <s v="Hotelería"/>
    <s v="Internación"/>
    <s v="Servicios Generales"/>
    <s v="MUCAMO/A"/>
    <s v="Valeria Dodero"/>
    <m/>
    <x v="0"/>
    <x v="0"/>
    <m/>
    <m/>
    <m/>
    <s v="Reemplazo"/>
    <m/>
    <s v="Marquez Marisa"/>
    <m/>
    <s v="Eventual "/>
    <m/>
    <m/>
    <s v="14-22 HS"/>
    <s v="SANATORIO"/>
    <d v="2026-02-11T00:00:00"/>
    <d v="2026-02-11T00:00:00"/>
    <m/>
    <m/>
    <s v="ALICIA CANDIA"/>
    <s v="$1.052.963,43  bruto /       $875.067,00 neto"/>
    <s v="122/75"/>
    <s v="No"/>
    <s v="No"/>
    <m/>
  </r>
  <r>
    <s v="00124"/>
    <d v="2026-01-24T00:00:00"/>
    <s v="Cerrada"/>
    <x v="2"/>
    <s v="Aprobada"/>
    <m/>
    <m/>
    <m/>
    <m/>
    <s v="SANATORIO COLEGIALES"/>
    <s v="CIRENDSA"/>
    <s v="Hotelería"/>
    <s v="Internación"/>
    <s v="Servicios Generales"/>
    <s v="MUCAMO/A"/>
    <s v="Valeria Dodero"/>
    <m/>
    <x v="0"/>
    <x v="0"/>
    <m/>
    <m/>
    <m/>
    <s v="Reemplazo"/>
    <m/>
    <s v="Aguirre A"/>
    <m/>
    <s v="Plazo Fijo"/>
    <m/>
    <m/>
    <s v="14-22 HS"/>
    <s v="SANATORIO"/>
    <d v="2026-01-30T00:00:00"/>
    <d v="2026-02-09T00:00:00"/>
    <m/>
    <m/>
    <s v="CARMEN KLOZ"/>
    <s v="$1.052.963,43  bruto /       $875.067,00 neto"/>
    <s v="122/75"/>
    <s v="No"/>
    <m/>
    <m/>
  </r>
  <r>
    <s v="00125"/>
    <d v="2026-01-24T00:00:00"/>
    <s v="Cerrada"/>
    <x v="2"/>
    <s v="Aprobada"/>
    <m/>
    <m/>
    <m/>
    <m/>
    <s v="SANATORIO COLEGIALES"/>
    <s v="CIRENDSA"/>
    <s v="Servicio de Alimentación"/>
    <s v="Servicios de Apoyo"/>
    <s v="Servicios Generales"/>
    <s v="PEON"/>
    <s v="Cordoba"/>
    <m/>
    <x v="0"/>
    <x v="0"/>
    <m/>
    <m/>
    <m/>
    <s v="Reemplazo"/>
    <m/>
    <s v="Gutierrez Maxi - Vacaciones"/>
    <m/>
    <s v="Eventual "/>
    <m/>
    <m/>
    <s v="ROTATIVO entre 6-14 hs/14-22 hs/22-6 hs segun cronograma"/>
    <s v="SANATORIO"/>
    <d v="2026-01-28T00:00:00"/>
    <d v="2026-02-02T00:00:00"/>
    <m/>
    <m/>
    <s v="JOSE LUIS INSFRAN"/>
    <s v="$1.053.063,43  bruto /       $875.148,00 neto"/>
    <s v="122/75"/>
    <s v="No"/>
    <m/>
    <m/>
  </r>
  <r>
    <s v="00126"/>
    <d v="2026-01-24T00:00:00"/>
    <s v="Cerrada"/>
    <x v="2"/>
    <s v="Aprobada"/>
    <m/>
    <m/>
    <m/>
    <m/>
    <s v="SANATORIO COLEGIALES"/>
    <s v="CIRENDSA"/>
    <s v="Hotelería"/>
    <s v="Internación"/>
    <s v="Servicios Generales"/>
    <s v="MUCAMO/A"/>
    <s v="Valeria Dodero"/>
    <m/>
    <x v="0"/>
    <x v="0"/>
    <m/>
    <s v="Baja"/>
    <s v="Media"/>
    <s v="Reemplazo"/>
    <m/>
    <s v="Jerez Tatiana"/>
    <m/>
    <s v="Plazo Fijo"/>
    <m/>
    <m/>
    <s v="14 A 22 HS"/>
    <s v="SANATORIO"/>
    <d v="2026-03-03T00:00:00"/>
    <d v="2026-03-09T00:00:00"/>
    <m/>
    <m/>
    <s v="BRISA CONGO"/>
    <s v="$1.052.963,43 bruto /         $875.067,00 neto"/>
    <s v="122/75"/>
    <s v="No"/>
    <m/>
    <m/>
  </r>
  <r>
    <s v="00127"/>
    <d v="2026-01-26T00:00:00"/>
    <s v="Cerrada"/>
    <x v="0"/>
    <s v="Aprobada"/>
    <m/>
    <m/>
    <m/>
    <m/>
    <s v="CMV"/>
    <m/>
    <s v="Mantenimiento"/>
    <s v="Servicios de Apoyo"/>
    <s v="Mantenimiento y obras"/>
    <s v="OFICIAL DE MANTENIMIENTO"/>
    <s v="Federico Carrasquera"/>
    <m/>
    <x v="0"/>
    <x v="0"/>
    <m/>
    <s v="Media"/>
    <s v="Alta "/>
    <s v="Reemplazo"/>
    <m/>
    <s v="Roberto Gonzalez"/>
    <m/>
    <s v="Inderminado "/>
    <m/>
    <m/>
    <s v="L/V de 8-16 / S-9-13 hs"/>
    <s v="CMV"/>
    <d v="2026-03-10T00:00:00"/>
    <d v="2026-03-13T00:00:00"/>
    <s v="Externa"/>
    <m/>
    <s v="Ignacio Rupchich"/>
    <s v="Bruto: 1533347,52"/>
    <s v="Comercio 130/75"/>
    <s v="No"/>
    <s v="No"/>
    <s v="Se entrevistaron 7 personas, pasa a preo Marcelo Garavilli el 3-02, el 5-02 el candidato se da de baja por otra mejor oferta laboral. se entrevistaron 3 personas, pasa a preo Lucas Barraza 20-02"/>
  </r>
  <r>
    <s v="00128"/>
    <d v="2026-01-26T00:00:00"/>
    <s v="Cerrada"/>
    <x v="2"/>
    <s v="Cancelada"/>
    <m/>
    <m/>
    <m/>
    <m/>
    <s v="SANATORIO COLEGIALES"/>
    <m/>
    <s v="Servicio de Alimentación"/>
    <s v="Servicios de Apoyo"/>
    <s v="Servicios Generales"/>
    <s v="PEON"/>
    <s v="Cordoba"/>
    <m/>
    <x v="1"/>
    <x v="1"/>
    <m/>
    <m/>
    <m/>
    <s v="Reemplazo"/>
    <m/>
    <s v="Ortiz L"/>
    <m/>
    <s v="Inderminado "/>
    <m/>
    <m/>
    <m/>
    <m/>
    <m/>
    <m/>
    <m/>
    <m/>
    <m/>
    <m/>
    <m/>
    <m/>
    <m/>
    <m/>
  </r>
  <r>
    <s v="00129"/>
    <d v="2026-01-30T00:00:00"/>
    <s v="Cerrada"/>
    <x v="2"/>
    <s v="Aprobada"/>
    <m/>
    <m/>
    <m/>
    <m/>
    <s v="SANATORIO COLEGIALES"/>
    <s v="CIRENDSA"/>
    <s v="Hotelería"/>
    <s v="Internación"/>
    <s v="Servicios Generales"/>
    <s v="MUCAMO/A"/>
    <s v="Valeria Dodero"/>
    <m/>
    <x v="0"/>
    <x v="0"/>
    <m/>
    <s v="Baja"/>
    <s v="Media"/>
    <s v="Reemplazo"/>
    <m/>
    <s v="Baptista G"/>
    <m/>
    <s v="Inderminado "/>
    <m/>
    <m/>
    <s v="14 A 22 HS"/>
    <s v="SANATORIO"/>
    <d v="2026-03-23T00:00:00"/>
    <d v="2026-04-08T00:00:00"/>
    <m/>
    <m/>
    <s v="MARIA VICTORIA PEREZ"/>
    <s v="$1.052.963,43 bruto /         $875.067,00 neto"/>
    <s v="122/75"/>
    <s v="No"/>
    <m/>
    <s v="No se presenta a firmar la postulante"/>
  </r>
  <r>
    <s v="00130"/>
    <d v="2026-01-31T00:00:00"/>
    <s v="Cerrada"/>
    <x v="2"/>
    <s v="Aprobada"/>
    <m/>
    <m/>
    <m/>
    <m/>
    <s v="SANATORIO COLEGIALES"/>
    <s v="CIRENDSA"/>
    <s v="Admisión"/>
    <s v="Consultorios Externos"/>
    <s v="Administrativo/a"/>
    <s v="Administrativo/a de Consultoríos Externos"/>
    <s v="Gomez"/>
    <m/>
    <x v="0"/>
    <x v="0"/>
    <m/>
    <s v="Baja"/>
    <s v="Media"/>
    <s v="Reemplazo"/>
    <m/>
    <s v="Molina J"/>
    <m/>
    <s v="Inderminado "/>
    <m/>
    <m/>
    <s v="Lunes a Viernes 14 a 20 hs. Sábado por medio 7 a 13 hs"/>
    <s v="SANATORIO"/>
    <d v="2026-03-03T00:00:00"/>
    <d v="2026-03-09T00:00:00"/>
    <m/>
    <m/>
    <s v="VICTORIA OCHOA"/>
    <s v="$842.805,08  bruto /       $697.077,50 neto"/>
    <s v="122/75"/>
    <s v="No"/>
    <m/>
    <m/>
  </r>
  <r>
    <s v="00131"/>
    <d v="2026-01-31T00:00:00"/>
    <s v="Cerrada"/>
    <x v="2"/>
    <s v="Aprobada"/>
    <m/>
    <m/>
    <m/>
    <m/>
    <s v="SANATORIO COLEGIALES"/>
    <s v="CIRENDSA"/>
    <s v="Admisión"/>
    <s v="Consultorios Externos"/>
    <s v="Administrativo/a"/>
    <s v="Administrativo/a de Consultoríos Externos"/>
    <s v="Gomez"/>
    <m/>
    <x v="0"/>
    <x v="0"/>
    <m/>
    <s v="Baja"/>
    <s v="Media"/>
    <s v="Reemplazo"/>
    <m/>
    <s v="Montero M"/>
    <m/>
    <s v="Inderminado "/>
    <m/>
    <m/>
    <s v="Lunes a Viernes 14 a 20 hs. Sábado por medio 7 a 13 hs"/>
    <s v="SANATORIO"/>
    <d v="2026-03-03T00:00:00"/>
    <d v="2026-03-09T00:00:00"/>
    <m/>
    <m/>
    <s v="MARTINA TERRAZAS"/>
    <s v="$842.805,08  bruto /       $697.077,50 neto"/>
    <s v="122/75"/>
    <s v="No"/>
    <m/>
    <m/>
  </r>
  <r>
    <s v="00132"/>
    <d v="2026-02-01T00:00:00"/>
    <s v="Cerrada"/>
    <x v="2"/>
    <s v="Aprobada"/>
    <m/>
    <m/>
    <m/>
    <m/>
    <s v="SANATORIO COLEGIALES"/>
    <s v="CIRENDSA"/>
    <s v="Enfermeria"/>
    <s v="INTERNACION"/>
    <s v="Asistencial/Enfermería"/>
    <s v="Enfermero/a de Internación"/>
    <s v="Noelia Alvez"/>
    <m/>
    <x v="0"/>
    <x v="0"/>
    <m/>
    <s v="Baja"/>
    <s v="Alta "/>
    <s v="Reemplazo"/>
    <m/>
    <s v="Hinojosa Wendy"/>
    <m/>
    <s v="Inderminado "/>
    <m/>
    <m/>
    <s v="TT - 14 a 22 hs"/>
    <s v="SANATORIO"/>
    <d v="2026-03-29T00:00:00"/>
    <d v="2026-04-08T00:00:00"/>
    <m/>
    <m/>
    <s v="SHERLYN VALLE"/>
    <s v=" $1.223.571,44 bruto /_x0009_ $1.024.328,50 neto"/>
    <s v="122/75"/>
    <s v="No"/>
    <s v="No"/>
    <s v="CM TT"/>
  </r>
  <r>
    <s v="00133"/>
    <d v="2026-02-02T00:00:00"/>
    <s v="Cerrada"/>
    <x v="2"/>
    <s v="Aprobada"/>
    <m/>
    <m/>
    <m/>
    <m/>
    <s v="SANATORIO COLEGIALES"/>
    <s v="CIRENDSA"/>
    <s v="Hotelería"/>
    <s v="Internación"/>
    <s v="Servicios Generales"/>
    <s v="MUCAMO/A"/>
    <s v="Valeria Dodero"/>
    <m/>
    <x v="0"/>
    <x v="0"/>
    <m/>
    <m/>
    <m/>
    <s v="Reemplazo"/>
    <m/>
    <s v="Lic prolongada Mareque Andrea"/>
    <m/>
    <s v="Eventual "/>
    <m/>
    <m/>
    <s v="14 A 22 HS. Eventual por licencia prolongada de 159156 ANDREA MAREQUE"/>
    <s v="SANATORIO"/>
    <m/>
    <d v="2026-02-11T00:00:00"/>
    <m/>
    <m/>
    <s v="MARIA BELEN RIOS"/>
    <s v="$1.052.963,43 bruto /        $875.067,00 neto"/>
    <s v="122/75"/>
    <s v="No"/>
    <s v="No"/>
    <m/>
  </r>
  <r>
    <s v="00134"/>
    <d v="2026-02-02T00:00:00"/>
    <s v="Cerrada"/>
    <x v="2"/>
    <s v="Aprobada"/>
    <m/>
    <m/>
    <m/>
    <m/>
    <s v="SANATORIO COLEGIALES"/>
    <s v="CIRENDSA"/>
    <s v="Hotelería"/>
    <s v="Internación"/>
    <s v="Servicios Generales"/>
    <s v="MUCAMO/A"/>
    <s v="Valeria Dodero"/>
    <m/>
    <x v="0"/>
    <x v="0"/>
    <m/>
    <m/>
    <m/>
    <s v="Reemplazo"/>
    <m/>
    <s v="Lic prolongada Robles Marta"/>
    <m/>
    <s v="Eventual "/>
    <m/>
    <m/>
    <s v="14 A 22 HS. Eventual por licencia prolongada de 120019 ROBLES MARTA"/>
    <s v="SANATORIO"/>
    <d v="2026-02-19T00:00:00"/>
    <d v="2026-02-23T00:00:00"/>
    <m/>
    <m/>
    <s v="AYELEN SANCHEZ"/>
    <s v="$1.052.963,43 bruto /        $875.067,00 neto"/>
    <s v="122/75"/>
    <s v="No"/>
    <s v="No"/>
    <m/>
  </r>
  <r>
    <s v="00135"/>
    <d v="2026-02-02T00:00:00"/>
    <s v="Cerrada"/>
    <x v="2"/>
    <s v="Aprobada"/>
    <m/>
    <m/>
    <m/>
    <m/>
    <s v="SANATORIO COLEGIALES"/>
    <s v="CIRENDSA"/>
    <s v="Hotelería"/>
    <s v="Internación"/>
    <s v="Servicios Generales"/>
    <s v="MUCAMO/A"/>
    <s v="Valeria Dodero"/>
    <m/>
    <x v="0"/>
    <x v="0"/>
    <m/>
    <m/>
    <m/>
    <s v="Reemplazo"/>
    <m/>
    <s v="Lic prolongada Haedo Evelyn"/>
    <m/>
    <s v="Eventual "/>
    <m/>
    <m/>
    <s v="14 A 22 HS. Eventual por licencia prolongada de 157990 HAEDO EVELYN"/>
    <s v="SANATORIO"/>
    <d v="2026-02-19T00:00:00"/>
    <d v="2026-02-23T00:00:00"/>
    <m/>
    <m/>
    <s v="FLORENCIA DOS SANTOS"/>
    <s v="$1.052.963,43 bruto /        $875.067,00 neto"/>
    <s v="122/75"/>
    <s v="No"/>
    <s v="No"/>
    <m/>
  </r>
  <r>
    <s v="00136"/>
    <d v="2026-02-02T00:00:00"/>
    <s v="Cerrada"/>
    <x v="2"/>
    <s v="Aprobada"/>
    <m/>
    <m/>
    <m/>
    <m/>
    <s v="SANATORIO COLEGIALES"/>
    <s v="CIRENDSA"/>
    <s v="Hotelería"/>
    <s v="Internación"/>
    <s v="Servicios Generales"/>
    <s v="MUCAMO/A"/>
    <s v="Valeria Dodero"/>
    <m/>
    <x v="0"/>
    <x v="0"/>
    <m/>
    <m/>
    <m/>
    <s v="Reemplazo"/>
    <m/>
    <s v="Lic prolongada Quenta Gabriela"/>
    <m/>
    <s v="Eventual "/>
    <m/>
    <m/>
    <s v="14 A 22 HS. Eventual por licencia prolongada de 166554 QUENTA GABRIELA"/>
    <s v="SANATORIO"/>
    <d v="2026-02-19T00:00:00"/>
    <d v="2026-02-23T00:00:00"/>
    <m/>
    <m/>
    <s v="ELIZABETH VALLEJO"/>
    <s v="$1.052.963,43 bruto /        $875.067,00 neto"/>
    <s v="122/75"/>
    <s v="No"/>
    <s v="No"/>
    <m/>
  </r>
  <r>
    <s v="00137"/>
    <d v="2026-02-02T00:00:00"/>
    <s v="Cerrada"/>
    <x v="2"/>
    <s v="Aprobada"/>
    <m/>
    <m/>
    <m/>
    <m/>
    <s v="SANATORIO COLEGIALES"/>
    <s v="CIRENDSA"/>
    <s v="Hotelería"/>
    <s v="Internación"/>
    <s v="Servicios Generales"/>
    <s v="MUCAMO/A"/>
    <s v="Valeria Dodero"/>
    <m/>
    <x v="0"/>
    <x v="0"/>
    <m/>
    <m/>
    <m/>
    <s v="Reemplazo"/>
    <m/>
    <s v="Orellana Leonor"/>
    <m/>
    <s v="Eventual "/>
    <m/>
    <m/>
    <s v="14 A 22 HS"/>
    <s v="SANATORIO"/>
    <d v="2026-02-11T00:00:00"/>
    <d v="2026-02-11T00:00:00"/>
    <m/>
    <m/>
    <s v="ROMINA SARMIENTO"/>
    <s v="$1.052.963,43  bruto /        $875.067,00 neto"/>
    <s v="122/75"/>
    <s v="No"/>
    <s v="No"/>
    <m/>
  </r>
  <r>
    <s v="00138"/>
    <d v="2026-02-02T00:00:00"/>
    <s v="Cerrada"/>
    <x v="0"/>
    <s v="Aprobada"/>
    <m/>
    <s v="No"/>
    <s v="Si"/>
    <m/>
    <s v="SANATORIO COLEGIALES"/>
    <s v="CIRENDSA"/>
    <s v="Sistemas"/>
    <s v="Sistemas"/>
    <s v="Analista IT"/>
    <s v="Soporte Tecnico"/>
    <s v="Poss"/>
    <m/>
    <x v="0"/>
    <x v="0"/>
    <m/>
    <s v="Media"/>
    <m/>
    <s v="Reemplazo"/>
    <m/>
    <s v="Villegas F"/>
    <m/>
    <s v="Inderminado "/>
    <m/>
    <m/>
    <s v="Lunes a Viernes 8 a 16 hs. Sábado por medio 9 a 13 hs. Feriado rotativo"/>
    <s v="SANATORIO"/>
    <d v="2026-03-12T00:00:00"/>
    <d v="2026-03-23T00:00:00"/>
    <s v="Externa"/>
    <m/>
    <s v="JOSE EZEQUIEL GONZALEZ"/>
    <s v=" $1.593.675,69 bruto /_x0009_ $1.327.814,00 neto"/>
    <s v="122/75"/>
    <s v="No"/>
    <s v="No"/>
    <m/>
  </r>
  <r>
    <s v="00139"/>
    <d v="2026-02-02T00:00:00"/>
    <n v="85"/>
    <x v="2"/>
    <s v="Aprobada"/>
    <m/>
    <m/>
    <m/>
    <m/>
    <s v="SANATORIO COLEGIALES"/>
    <s v="CIRENDSA"/>
    <s v="Enfermeria"/>
    <s v="Internación"/>
    <s v="Asistencial/Enfermería"/>
    <s v="Enfermero/a de Internación"/>
    <s v="Noelia Alvez"/>
    <m/>
    <x v="3"/>
    <x v="6"/>
    <d v="2026-05-04T00:00:00"/>
    <s v="Baja"/>
    <s v="Baja "/>
    <s v="Reemplazo"/>
    <n v="167700"/>
    <s v="Chavarria Ayelen"/>
    <m/>
    <s v="Inderminado "/>
    <m/>
    <m/>
    <s v="6 a 14 hs"/>
    <s v="SANATORIO"/>
    <d v="2026-04-20T00:00:00"/>
    <d v="2026-05-04T00:00:00"/>
    <m/>
    <m/>
    <s v="Luz Balbidares"/>
    <s v=" $1.303.213,92 bruto /_x0009_ $1.093.671,00 neto"/>
    <s v="122/75"/>
    <m/>
    <m/>
    <s v="CM TM"/>
  </r>
  <r>
    <s v="00140"/>
    <d v="2026-02-02T00:00:00"/>
    <s v="Cerrada"/>
    <x v="0"/>
    <s v="Cancelada"/>
    <m/>
    <m/>
    <m/>
    <m/>
    <s v="CMV"/>
    <m/>
    <s v="Liquidación de Prestaciones"/>
    <s v="Administración y Finanzas"/>
    <s v="Administrativo/a"/>
    <s v="Liquidador/a"/>
    <s v="Valeria Ríos"/>
    <m/>
    <x v="4"/>
    <x v="5"/>
    <m/>
    <m/>
    <m/>
    <s v="Reemplazo"/>
    <m/>
    <s v="Elena Gladys Negri"/>
    <m/>
    <s v="Inderminado "/>
    <m/>
    <m/>
    <m/>
    <m/>
    <m/>
    <m/>
    <m/>
    <m/>
    <m/>
    <m/>
    <m/>
    <m/>
    <m/>
    <m/>
  </r>
  <r>
    <s v="00141"/>
    <d v="2026-02-02T00:00:00"/>
    <s v="Cerrada"/>
    <x v="0"/>
    <s v="Cancelada"/>
    <m/>
    <m/>
    <m/>
    <m/>
    <s v="CORPO"/>
    <m/>
    <s v="Recupero SUR"/>
    <s v="Administración y Finanzas"/>
    <s v="Administrativo/a"/>
    <s v="Recupero SUR"/>
    <s v="Valeria Ríos"/>
    <m/>
    <x v="4"/>
    <x v="5"/>
    <m/>
    <m/>
    <m/>
    <s v="Reemplazo"/>
    <m/>
    <s v="Andres Piercamelli"/>
    <m/>
    <s v="Inderminado "/>
    <m/>
    <m/>
    <m/>
    <m/>
    <m/>
    <m/>
    <m/>
    <m/>
    <m/>
    <m/>
    <m/>
    <m/>
    <m/>
    <m/>
  </r>
  <r>
    <s v="00142"/>
    <d v="2026-02-02T00:00:00"/>
    <s v="Cerrada"/>
    <x v="0"/>
    <s v="Cancelada"/>
    <m/>
    <m/>
    <m/>
    <m/>
    <s v="CORPO"/>
    <m/>
    <s v="Liquidación de Prestaciones"/>
    <s v="Administración y Finanzas"/>
    <s v="Administrativo/a"/>
    <s v="Liquidador/a"/>
    <s v="Valeria Ríos"/>
    <m/>
    <x v="4"/>
    <x v="5"/>
    <m/>
    <m/>
    <m/>
    <s v="Reemplazo"/>
    <m/>
    <s v="Micaela Fernandez"/>
    <m/>
    <s v="Inderminado "/>
    <m/>
    <m/>
    <m/>
    <m/>
    <m/>
    <m/>
    <m/>
    <m/>
    <m/>
    <m/>
    <m/>
    <m/>
    <m/>
    <m/>
  </r>
  <r>
    <s v="00143"/>
    <d v="2026-02-02T00:00:00"/>
    <s v="Cerrada"/>
    <x v="0"/>
    <s v="Cancelada"/>
    <m/>
    <m/>
    <m/>
    <m/>
    <s v="CORPO"/>
    <m/>
    <s v="Liquidación de Prestaciones"/>
    <s v="Administración y Finanzas"/>
    <s v="Administrativo/a"/>
    <s v="Liquidador/a"/>
    <s v="Valeria Ríos"/>
    <m/>
    <x v="4"/>
    <x v="5"/>
    <m/>
    <m/>
    <m/>
    <s v="Reemplazo"/>
    <m/>
    <s v="Camila Orlando/ Arnes Pinto"/>
    <m/>
    <s v="Inderminado "/>
    <m/>
    <m/>
    <m/>
    <m/>
    <m/>
    <m/>
    <m/>
    <m/>
    <m/>
    <m/>
    <m/>
    <m/>
    <m/>
    <m/>
  </r>
  <r>
    <s v="00144"/>
    <d v="2026-02-03T00:00:00"/>
    <s v="Cerrada"/>
    <x v="0"/>
    <s v="Aprobada"/>
    <m/>
    <m/>
    <m/>
    <m/>
    <s v="PREPAGA"/>
    <s v="Bristol Medicine SRL"/>
    <s v="Ventas Retail"/>
    <s v="Comercial"/>
    <s v="Comercial, ventas y cobranzas"/>
    <s v="VENDEDOR/A"/>
    <s v="Serafin"/>
    <s v="Vanesa Serafin "/>
    <x v="0"/>
    <x v="0"/>
    <d v="2026-03-19T00:00:00"/>
    <s v="Baja"/>
    <s v="Media"/>
    <s v="Reemplazo"/>
    <m/>
    <s v="GALLO GEREZ, SABRINA NOELIA (1092)"/>
    <m/>
    <s v="Inderminado "/>
    <m/>
    <m/>
    <s v="Lunes a Viernes de 10 a 17hs"/>
    <s v="Bristol - Céspedes"/>
    <d v="2026-03-16T00:00:00"/>
    <d v="2026-03-19T00:00:00"/>
    <s v="Externa"/>
    <s v="Consultora"/>
    <s v=" Alejandro Arroyo "/>
    <s v=" $961.576,34 Bruto"/>
    <s v="108/75"/>
    <s v="No"/>
    <m/>
    <m/>
  </r>
  <r>
    <s v="00145"/>
    <d v="2026-02-04T00:00:00"/>
    <s v="Cerrada"/>
    <x v="4"/>
    <s v="Aprobada"/>
    <m/>
    <m/>
    <m/>
    <m/>
    <s v="CORPO"/>
    <m/>
    <s v="Medios Digitales"/>
    <s v="Administración y Finanzas"/>
    <s v="Analista IT"/>
    <s v="Ing. promt y agentes de IA"/>
    <s v="Christian Cieri"/>
    <m/>
    <x v="4"/>
    <x v="5"/>
    <m/>
    <s v="Alta"/>
    <s v="Baja "/>
    <s v="Apertura de puesto"/>
    <m/>
    <m/>
    <m/>
    <s v="Inderminado "/>
    <m/>
    <m/>
    <m/>
    <m/>
    <m/>
    <m/>
    <m/>
    <m/>
    <m/>
    <m/>
    <m/>
    <m/>
    <m/>
    <m/>
  </r>
  <r>
    <s v="00146"/>
    <d v="2026-02-04T00:00:00"/>
    <s v="Cerrada"/>
    <x v="4"/>
    <s v="Aprobada"/>
    <m/>
    <m/>
    <m/>
    <m/>
    <s v="CORPO"/>
    <m/>
    <s v="Medios Digitales"/>
    <s v="Administración y Finanzas"/>
    <s v="Analista"/>
    <s v="Analista de Producto Digital "/>
    <s v="Christian Cieri"/>
    <m/>
    <x v="4"/>
    <x v="5"/>
    <m/>
    <s v="Media"/>
    <s v="Baja "/>
    <s v="Reemplazo"/>
    <m/>
    <s v="Melisa Garcia"/>
    <m/>
    <s v="Inderminado "/>
    <m/>
    <m/>
    <m/>
    <m/>
    <m/>
    <m/>
    <m/>
    <m/>
    <m/>
    <m/>
    <m/>
    <m/>
    <m/>
    <m/>
  </r>
  <r>
    <s v="00147"/>
    <d v="2026-02-05T00:00:00"/>
    <s v="Cerrada"/>
    <x v="2"/>
    <s v="Aprobada"/>
    <m/>
    <m/>
    <m/>
    <m/>
    <s v="SANATORIO COLEGIALES"/>
    <s v="CIRENDSA"/>
    <s v="Hotelería"/>
    <s v="Internación"/>
    <s v="Servicios Generales"/>
    <s v="MUCAMO/A"/>
    <s v="Valeria Dodero"/>
    <m/>
    <x v="0"/>
    <x v="0"/>
    <m/>
    <m/>
    <m/>
    <s v="Reemplazo"/>
    <m/>
    <s v="Lic prolongada Araujo Fiorella"/>
    <m/>
    <s v="Eventual "/>
    <m/>
    <m/>
    <s v="14 A 22 HS Eventual por licencia prolongada de 163142 ARAUJO FIORELLA"/>
    <s v="SANATORIO"/>
    <d v="2026-02-19T00:00:00"/>
    <d v="2026-02-23T00:00:00"/>
    <m/>
    <m/>
    <s v="ANABELLA SEGOVIA"/>
    <s v="$1.052.963,43 bruto /        $875.067,00 neto"/>
    <s v="122/75"/>
    <s v="No"/>
    <m/>
    <m/>
  </r>
  <r>
    <s v="00148"/>
    <d v="2026-02-05T00:00:00"/>
    <s v="Cerrada"/>
    <x v="2"/>
    <s v="Aprobada"/>
    <m/>
    <m/>
    <m/>
    <m/>
    <s v="SANATORIO COLEGIALES"/>
    <s v="CIRENDSA"/>
    <s v="Enfermeria"/>
    <s v="Terapia Intensiva"/>
    <s v="Asistencial/Enfermería"/>
    <s v="Enfermero/a de Terapia Intensiva"/>
    <s v="Alvez"/>
    <m/>
    <x v="0"/>
    <x v="0"/>
    <m/>
    <m/>
    <m/>
    <s v="Reemplazo"/>
    <m/>
    <s v="Lorena Quisbert Urias"/>
    <m/>
    <s v="Plazo Fijo"/>
    <m/>
    <m/>
    <s v="14 A 22 HS"/>
    <s v="SANATORIO"/>
    <d v="2026-02-19T00:00:00"/>
    <d v="2026-02-23T00:00:00"/>
    <m/>
    <m/>
    <s v="SERGIO MEDRANO"/>
    <s v="$1.444.204,15 bruto /        $1.205.247,26 neto"/>
    <s v="122/75"/>
    <s v="No"/>
    <m/>
    <m/>
  </r>
  <r>
    <s v="00149"/>
    <d v="2026-02-06T00:00:00"/>
    <s v="Cerrada"/>
    <x v="2"/>
    <s v="Aprobada"/>
    <m/>
    <m/>
    <m/>
    <m/>
    <s v="SANATORIO COLEGIALES"/>
    <m/>
    <s v="Hotelería"/>
    <s v="Internación"/>
    <s v="Servicios Generales"/>
    <s v="MUCAMO/A"/>
    <s v="Valeria Dodero"/>
    <m/>
    <x v="0"/>
    <x v="0"/>
    <m/>
    <s v="Baja"/>
    <s v="Media"/>
    <s v="Reemplazo"/>
    <m/>
    <s v="Malaga Yanina"/>
    <m/>
    <s v="Inderminado "/>
    <m/>
    <m/>
    <s v="14 A 22 HS"/>
    <s v="SANATORIO"/>
    <d v="2026-03-23T00:00:00"/>
    <d v="2026-04-08T00:00:00"/>
    <m/>
    <m/>
    <s v="Gina Yngargiola"/>
    <s v="$1.052.963,43 bruto /        $875.067,00 neto"/>
    <s v="122/75"/>
    <s v="No"/>
    <m/>
    <m/>
  </r>
  <r>
    <s v="00150"/>
    <d v="2026-02-06T00:00:00"/>
    <s v="Cerrada"/>
    <x v="2"/>
    <s v="Aprobada"/>
    <m/>
    <m/>
    <m/>
    <m/>
    <s v="SANATORIO COLEGIALES"/>
    <m/>
    <s v="Enfermeria"/>
    <s v="Internación"/>
    <s v="Asistencial/Enfermería"/>
    <s v="Enfermero/a de Internación"/>
    <s v="Noelia Alvez"/>
    <m/>
    <x v="0"/>
    <x v="0"/>
    <m/>
    <s v="Baja"/>
    <m/>
    <s v="Reemplazo"/>
    <m/>
    <s v="Carbajal Gabriela"/>
    <m/>
    <s v="Inderminado "/>
    <m/>
    <m/>
    <s v="14 A 22 HS"/>
    <s v="SANATORIO"/>
    <d v="2026-03-11T00:00:00"/>
    <d v="2026-03-20T00:00:00"/>
    <m/>
    <m/>
    <s v="KEVIN CUIZA"/>
    <s v=" $1.223.571,44 bruto /_x0009_ $1.024.328,50 neto"/>
    <s v="122/75"/>
    <s v="No"/>
    <s v="No"/>
    <s v="CM TT"/>
  </r>
  <r>
    <s v="00151"/>
    <d v="2026-02-09T00:00:00"/>
    <s v="Cerrada"/>
    <x v="2"/>
    <s v="Aprobada"/>
    <m/>
    <m/>
    <m/>
    <m/>
    <s v="CORPO"/>
    <s v="Healthnes"/>
    <s v="Contact Center"/>
    <s v="Operaciones"/>
    <s v="Administrativo/a"/>
    <s v="Operador call center"/>
    <s v="Agostina Zukowski"/>
    <m/>
    <x v="0"/>
    <x v="0"/>
    <m/>
    <m/>
    <m/>
    <s v="Reemplazo"/>
    <m/>
    <s v="Marquez M"/>
    <m/>
    <s v="Plazo Fijo"/>
    <m/>
    <m/>
    <s v="Lunes a Viernes 13 a 18 hs. Sábados 9 a 14 hs (25 hs)"/>
    <s v="CONTACT CENTER"/>
    <d v="2026-02-19T00:00:00"/>
    <d v="2026-02-23T00:00:00"/>
    <m/>
    <m/>
    <s v="JUANA D'ANDREA"/>
    <s v="$710.649,96 bruto / $567.231,00 neto"/>
    <s v="130/75"/>
    <s v="No"/>
    <s v="No"/>
    <m/>
  </r>
  <r>
    <s v="00152"/>
    <d v="2026-02-09T00:00:00"/>
    <s v="Cerrada"/>
    <x v="2"/>
    <s v="Aprobada"/>
    <m/>
    <m/>
    <m/>
    <m/>
    <s v="SANATORIO COLEGIALES"/>
    <m/>
    <s v="Enfermeria"/>
    <s v="Internación"/>
    <s v="Liderazgo"/>
    <s v="Supervisor/a de Internación"/>
    <s v="Alvez"/>
    <m/>
    <x v="0"/>
    <x v="0"/>
    <m/>
    <s v="Media"/>
    <m/>
    <s v="Reemplazo"/>
    <m/>
    <s v="Frias Lorena"/>
    <m/>
    <s v="Inderminado "/>
    <m/>
    <m/>
    <m/>
    <s v="SANATORIO"/>
    <m/>
    <d v="2026-04-01T00:00:00"/>
    <s v="Interna"/>
    <s v="Promoción"/>
    <s v="Jully Aranibar"/>
    <m/>
    <m/>
    <m/>
    <m/>
    <s v="2 perfiles internos identificados "/>
  </r>
  <r>
    <s v="00153"/>
    <d v="2026-02-09T00:00:00"/>
    <s v="Cerrada"/>
    <x v="0"/>
    <s v="Aprobada"/>
    <m/>
    <m/>
    <m/>
    <m/>
    <s v="PREPAGA"/>
    <s v="Bristol Medicine SRL"/>
    <s v="Ventas Retail"/>
    <s v="Comercial"/>
    <s v="Comercial, ventas y cobranzas"/>
    <s v="VENDEDOR/A"/>
    <s v="Serafin"/>
    <s v="Vanesa Serafin "/>
    <x v="0"/>
    <x v="0"/>
    <d v="2026-03-19T00:00:00"/>
    <s v="Baja"/>
    <s v="Media"/>
    <s v="Reemplazo"/>
    <m/>
    <s v="ROMERO, VIRGINIA IVON (169843)"/>
    <m/>
    <s v="Inderminado "/>
    <m/>
    <m/>
    <s v="Lunes a Viernes de 10 a 17hs"/>
    <s v="Bristol - Céspedes"/>
    <d v="2026-03-16T00:00:00"/>
    <d v="2026-03-19T00:00:00"/>
    <s v="Externa"/>
    <s v="Consultora"/>
    <s v=" Rodrigo González "/>
    <s v=" $961.576,34 Bruto"/>
    <s v="108/75"/>
    <s v="No"/>
    <m/>
    <m/>
  </r>
  <r>
    <s v="00154"/>
    <d v="2026-02-09T00:00:00"/>
    <s v="Cerrada"/>
    <x v="4"/>
    <s v="Aprobada"/>
    <m/>
    <s v="Si"/>
    <s v="Si"/>
    <m/>
    <s v="CORPO"/>
    <m/>
    <s v="MARKETING"/>
    <s v="Servicios de Apoyo"/>
    <s v="Analista"/>
    <s v="BRAND MANAGER"/>
    <s v="Pachelo "/>
    <m/>
    <x v="4"/>
    <x v="5"/>
    <m/>
    <m/>
    <m/>
    <s v="Apertura de puesto"/>
    <m/>
    <m/>
    <m/>
    <s v="Inderminado "/>
    <m/>
    <m/>
    <m/>
    <m/>
    <m/>
    <m/>
    <m/>
    <m/>
    <m/>
    <m/>
    <m/>
    <m/>
    <m/>
    <m/>
  </r>
  <r>
    <s v="00155"/>
    <d v="2026-02-11T00:00:00"/>
    <s v="Cerrada"/>
    <x v="0"/>
    <s v="Aprobada"/>
    <m/>
    <s v="No"/>
    <m/>
    <m/>
    <s v="FARMACIA"/>
    <m/>
    <s v="Atención al Público"/>
    <s v="Farmacia Lamaité"/>
    <s v="Administrativo/a"/>
    <s v="CAJERO/A"/>
    <s v="Sergio Bernigaud"/>
    <m/>
    <x v="0"/>
    <x v="0"/>
    <d v="2026-04-06T00:00:00"/>
    <s v="Baja"/>
    <s v="Media"/>
    <s v="Reemplazo"/>
    <m/>
    <s v="Lucia Toschi "/>
    <m/>
    <s v="Inderminado "/>
    <m/>
    <m/>
    <s v="Lunes a Viernes 16 a 20hs / Domingos 9 a 21hs"/>
    <s v="Farmacia"/>
    <d v="2026-03-16T00:00:00"/>
    <d v="2026-04-06T00:00:00"/>
    <s v="Externa"/>
    <m/>
    <s v="Rossana Contreras"/>
    <s v="$1.373.058,07 bruto / $1.118.880,00 neto"/>
    <s v="Adef - 414/05"/>
    <s v="No"/>
    <s v="No"/>
    <s v="Empleado de mostrador. 2 candidatos en preoc"/>
  </r>
  <r>
    <s v="00156"/>
    <d v="2026-02-11T00:00:00"/>
    <s v="Cerrada"/>
    <x v="2"/>
    <s v="Aprobada"/>
    <m/>
    <m/>
    <m/>
    <m/>
    <s v="SANATORIO COLEGIALES"/>
    <s v="CIRENDSA"/>
    <s v="Hotelería"/>
    <s v="Internación"/>
    <s v="Servicios Generales"/>
    <s v="MUCAMO/A"/>
    <s v="Valeria Dodero"/>
    <m/>
    <x v="0"/>
    <x v="0"/>
    <m/>
    <s v="Baja"/>
    <m/>
    <s v="Reemplazo"/>
    <m/>
    <s v="Kloz Carmen"/>
    <m/>
    <s v="Inderminado "/>
    <m/>
    <m/>
    <s v="14 A 22 HS "/>
    <s v="SANATORIO"/>
    <d v="2026-03-23T00:00:00"/>
    <d v="2026-04-08T00:00:00"/>
    <m/>
    <m/>
    <s v="SOLEDAD CUEVAS"/>
    <s v=" $1.052.963,43 bruto /_x0009_ $875.067,00 neto"/>
    <s v="122/75"/>
    <s v="No"/>
    <s v="No"/>
    <m/>
  </r>
  <r>
    <s v="00157"/>
    <d v="2026-02-11T00:00:00"/>
    <s v="Cerrada"/>
    <x v="2"/>
    <s v="Aprobada"/>
    <m/>
    <m/>
    <m/>
    <m/>
    <s v="SANATORIO COLEGIALES"/>
    <s v="CIRENDSA"/>
    <s v="Admisión"/>
    <s v="Consultorios Externos"/>
    <s v="Administrativo/a"/>
    <s v="Administrativo/a de Consultoríos Externos"/>
    <s v="Gomez"/>
    <m/>
    <x v="0"/>
    <x v="0"/>
    <m/>
    <s v="Baja"/>
    <s v="Media"/>
    <s v="Reemplazo"/>
    <m/>
    <s v="Romina Barrera"/>
    <m/>
    <s v="Inderminado "/>
    <m/>
    <m/>
    <s v=" Lu a Vie 14 a 20 hs - Sabado x medio 07 a 13 hs "/>
    <s v="SANATORIO"/>
    <m/>
    <d v="2026-03-23T00:00:00"/>
    <m/>
    <m/>
    <s v="ALDANA MARECO"/>
    <s v=" $842.805,08 bruto /_x0009_ $697.077,50 neto"/>
    <s v="122/75"/>
    <s v="No"/>
    <s v="No"/>
    <m/>
  </r>
  <r>
    <s v="00158"/>
    <d v="2026-02-12T00:00:00"/>
    <s v="Cerrada"/>
    <x v="2"/>
    <s v="Aprobada"/>
    <m/>
    <m/>
    <m/>
    <m/>
    <s v="SANATORIO COLEGIALES"/>
    <s v="CIRENDSA"/>
    <s v="Cirugía"/>
    <s v="Quirófano"/>
    <s v="Asistencial/Otros"/>
    <s v="INSTRUMENTADOR/A"/>
    <s v="Di Franco"/>
    <m/>
    <x v="0"/>
    <x v="0"/>
    <m/>
    <s v="Baja"/>
    <s v="Media"/>
    <s v="Reemplazo"/>
    <m/>
    <s v="Stella Maris Carabajal"/>
    <m/>
    <s v="Inderminado "/>
    <m/>
    <m/>
    <s v="L A S 15 A 23 HS. FERIADO ROTATIVO"/>
    <s v="SANATORIO"/>
    <d v="2026-03-23T00:00:00"/>
    <d v="2026-04-08T00:00:00"/>
    <m/>
    <m/>
    <s v="MEGAN BURTON"/>
    <s v="$1.478.071,38  bruto /       $1.230.851,50 neto"/>
    <s v="122/75"/>
    <s v="No"/>
    <m/>
    <s v="Se baja el candidato antes de la firma"/>
  </r>
  <r>
    <s v="00159"/>
    <d v="2026-02-13T00:00:00"/>
    <s v="Cerrada"/>
    <x v="0"/>
    <s v="Aprobada"/>
    <m/>
    <m/>
    <m/>
    <m/>
    <s v="FARMACIA"/>
    <s v="Farmacia Nobel"/>
    <s v="Atención al Público"/>
    <s v="Farmacia Lamaité"/>
    <s v="Administrativo/a"/>
    <s v="CAJERO/A"/>
    <s v="Sergio Bernigaud"/>
    <m/>
    <x v="0"/>
    <x v="0"/>
    <m/>
    <m/>
    <m/>
    <s v="Reemplazo"/>
    <m/>
    <s v="Roxana Sequeira"/>
    <m/>
    <s v="Inderminado "/>
    <m/>
    <m/>
    <s v="Lunes a Viernes 16 a 22hs y Sabados de 13 a 21hs"/>
    <s v="Farmacia"/>
    <d v="2026-03-03T00:00:00"/>
    <d v="2026-03-09T00:00:00"/>
    <m/>
    <m/>
    <s v="Victoria Rocio Fagundez"/>
    <s v="$1.634.593,04 bruto / $1.363.852,00 neto"/>
    <m/>
    <s v="No"/>
    <s v="No"/>
    <m/>
  </r>
  <r>
    <s v="00160"/>
    <d v="2026-02-13T00:00:00"/>
    <s v="Cerrada"/>
    <x v="2"/>
    <s v="Aprobada"/>
    <m/>
    <m/>
    <m/>
    <m/>
    <s v="SANATORIO COLEGIALES"/>
    <s v="CIRENDSA"/>
    <s v="Enfermeria"/>
    <s v="INTERNACION"/>
    <s v="Asistencial/Enfermería"/>
    <s v="Enfermero/a de Internación"/>
    <s v="Noelia Alvez"/>
    <m/>
    <x v="0"/>
    <x v="0"/>
    <m/>
    <s v="Baja"/>
    <s v="Alta "/>
    <s v="Reemplazo"/>
    <m/>
    <s v="Blanco Beatriz"/>
    <s v="Renuncia "/>
    <s v="Inderminado "/>
    <m/>
    <m/>
    <s v="TT - 14 a 22 HS"/>
    <s v="SANATORIO"/>
    <d v="2026-04-27T00:00:00"/>
    <d v="2026-04-27T00:00:00"/>
    <m/>
    <m/>
    <s v="NILDA IBARROLA"/>
    <s v="Eventual por licencia. Se efectiviza"/>
    <s v="122/75"/>
    <s v="No"/>
    <s v="No"/>
    <s v=" 7/4 Se baja del proceso previo a la firma"/>
  </r>
  <r>
    <s v="00161"/>
    <d v="2026-02-14T00:00:00"/>
    <s v="Cerrada"/>
    <x v="2"/>
    <s v="Aprobada"/>
    <m/>
    <m/>
    <m/>
    <m/>
    <s v="CORPO"/>
    <s v="Healthnes"/>
    <s v="Contact Center"/>
    <s v="Operaciones"/>
    <s v="Administrativo/a"/>
    <s v="Operador call center"/>
    <s v="Zukoski"/>
    <m/>
    <x v="0"/>
    <x v="0"/>
    <m/>
    <s v="Baja"/>
    <s v="Media"/>
    <s v="Reemplazo"/>
    <m/>
    <s v="Dana Collado "/>
    <m/>
    <s v="Plazo Fijo"/>
    <m/>
    <m/>
    <s v="Lunes a Viernes 14 a 19 hs. Sábado 9 a 14 hs (25 hs)"/>
    <s v="CONTACT CENTER"/>
    <d v="2026-03-03T00:00:00"/>
    <d v="2026-03-09T00:00:00"/>
    <m/>
    <m/>
    <s v="MARIA DEL PILAR HEREDIA"/>
    <s v="$710.649,96 bruto / $567.231,00 neto"/>
    <s v="130/75"/>
    <s v="No"/>
    <m/>
    <m/>
  </r>
  <r>
    <s v="00162"/>
    <d v="2026-02-15T00:00:00"/>
    <s v="Cerrada"/>
    <x v="2"/>
    <s v="Aprobada"/>
    <m/>
    <m/>
    <m/>
    <m/>
    <s v="SANATORIO COLEGIALES"/>
    <s v="CIRENDSA"/>
    <s v="Enfermeria"/>
    <s v="Terapia Intensiva"/>
    <s v="Asistencial/Enfermería"/>
    <s v="Enfermero/a de Terapia Intensiva"/>
    <s v="Noelia Alvez"/>
    <m/>
    <x v="1"/>
    <x v="1"/>
    <m/>
    <s v="Media"/>
    <m/>
    <s v="Reemplazo"/>
    <m/>
    <s v="Vacante TM"/>
    <m/>
    <s v="Inderminado "/>
    <m/>
    <m/>
    <m/>
    <s v="SANATORIO"/>
    <m/>
    <m/>
    <m/>
    <m/>
    <m/>
    <m/>
    <m/>
    <m/>
    <m/>
    <m/>
  </r>
  <r>
    <s v="00163"/>
    <d v="2026-02-15T00:00:00"/>
    <s v="Cerrada"/>
    <x v="2"/>
    <s v="Aprobada"/>
    <m/>
    <m/>
    <m/>
    <m/>
    <s v="SANATORIO COLEGIALES"/>
    <s v="CIRENDSA"/>
    <s v="Enfermeria"/>
    <s v="Terapia Intensiva"/>
    <s v="Asistencial/Enfermería"/>
    <s v="Enfermero/a de Terapia Intensiva"/>
    <s v="Alvez"/>
    <m/>
    <x v="0"/>
    <x v="0"/>
    <m/>
    <s v="Media"/>
    <m/>
    <s v="Reemplazo"/>
    <m/>
    <s v="Vacante TT"/>
    <m/>
    <s v="Inderminado "/>
    <m/>
    <m/>
    <s v="14 A 22 HS"/>
    <s v="SANATORIO"/>
    <d v="2026-03-11T00:00:00"/>
    <d v="2026-03-20T00:00:00"/>
    <m/>
    <m/>
    <s v="MARIA JOSE CASTILLO"/>
    <s v=" $1.444.204,15 bruto /_x0009_ $1.205.247,26 neto"/>
    <s v="122/75"/>
    <s v="No"/>
    <s v="No"/>
    <m/>
  </r>
  <r>
    <s v="00164"/>
    <d v="2026-02-15T00:00:00"/>
    <s v="Cerrada"/>
    <x v="2"/>
    <s v="Aprobada"/>
    <m/>
    <m/>
    <m/>
    <m/>
    <s v="SANATORIO COLEGIALES"/>
    <s v="CIRENDSA"/>
    <s v="Enfermeria"/>
    <s v="Terapia Intensiva"/>
    <s v="Asistencial/Enfermería"/>
    <s v="Enfermero/a de Terapia Intensiva"/>
    <s v="Alvez"/>
    <m/>
    <x v="0"/>
    <x v="0"/>
    <m/>
    <s v="Media"/>
    <m/>
    <s v="Reemplazo"/>
    <m/>
    <s v="Vacante TT"/>
    <m/>
    <s v="Inderminado "/>
    <m/>
    <m/>
    <s v="14 A 22 HS"/>
    <s v="SANATORIO"/>
    <d v="2026-03-11T00:00:00"/>
    <d v="2026-03-20T00:00:00"/>
    <m/>
    <m/>
    <s v="MARIANA CONTE"/>
    <s v=" $1.444.204,15 bruto /_x0009_ $1.205.247,26 neto"/>
    <s v="122/75"/>
    <s v="No"/>
    <s v="No"/>
    <m/>
  </r>
  <r>
    <s v="00165"/>
    <d v="2026-02-15T00:00:00"/>
    <n v="72"/>
    <x v="2"/>
    <s v="Aprobada"/>
    <m/>
    <m/>
    <m/>
    <m/>
    <s v="SANATORIO COLEGIALES"/>
    <s v="CIRENDSA"/>
    <s v="Enfermeria"/>
    <s v="Terapia Intensiva"/>
    <s v="Asistencial/Enfermería"/>
    <s v="Enfermero/a de Terapia Intensiva"/>
    <s v="Noelia Alvez"/>
    <m/>
    <x v="2"/>
    <x v="7"/>
    <d v="2026-05-18T00:00:00"/>
    <s v="Media"/>
    <s v="Alta "/>
    <s v="Reemplazo"/>
    <m/>
    <s v="EDITH LLANES"/>
    <s v="Renuncia "/>
    <s v="Inderminado "/>
    <m/>
    <m/>
    <s v="TN - 22 a 6 HS"/>
    <s v="SANATORIO"/>
    <m/>
    <m/>
    <m/>
    <m/>
    <m/>
    <m/>
    <s v="122/75"/>
    <s v="No"/>
    <s v="No"/>
    <m/>
  </r>
  <r>
    <s v="00166"/>
    <d v="2026-02-16T00:00:00"/>
    <s v="Cerrada"/>
    <x v="2"/>
    <s v="Aprobada"/>
    <m/>
    <m/>
    <m/>
    <m/>
    <s v="SANATORIO COLEGIALES"/>
    <s v="CIRENDSA"/>
    <s v="Enfermeria"/>
    <s v="Internación"/>
    <s v="Asistencial/Enfermería"/>
    <s v="Enfermero/a de Internación"/>
    <s v="Alvez"/>
    <m/>
    <x v="0"/>
    <x v="0"/>
    <m/>
    <s v="Baja"/>
    <s v="Media"/>
    <s v="Reemplazo"/>
    <m/>
    <s v="Gutierrez Ariel"/>
    <m/>
    <s v="Inderminado "/>
    <m/>
    <m/>
    <s v="14 A 22 HS"/>
    <s v="SANATORIO"/>
    <d v="2026-03-03T00:00:00"/>
    <d v="2026-03-09T00:00:00"/>
    <m/>
    <m/>
    <s v="FLORENCIA MOGRO"/>
    <s v="$1.223.571,44  bruto /       $1.024.328,50 neto"/>
    <s v="122/75"/>
    <s v="No"/>
    <m/>
    <s v="CM TT"/>
  </r>
  <r>
    <s v="00167"/>
    <d v="2026-02-16T00:00:00"/>
    <s v="Cerrada"/>
    <x v="0"/>
    <s v="Aprobada"/>
    <m/>
    <m/>
    <m/>
    <m/>
    <s v="CORPO"/>
    <s v="Healthnes"/>
    <s v="Contact Center"/>
    <s v="Operaciones"/>
    <s v="Administrativo/a"/>
    <s v="Operador call center"/>
    <s v="Agostina Zukowski"/>
    <m/>
    <x v="0"/>
    <x v="0"/>
    <m/>
    <s v="Baja"/>
    <s v="Alta "/>
    <s v="Reemplazo"/>
    <m/>
    <s v="Lic prolongada Sanchez Daiana"/>
    <s v="Licencia "/>
    <s v="Eventual "/>
    <m/>
    <m/>
    <s v="Lunes a Miércoles 10-19 h. Jueves y Viernes 11-19 hs y Sábados 9-14 hs por Lic prolongada 164206 DANIELA SANCHEZ_x0009_"/>
    <s v="CONTACT CENTER"/>
    <d v="2026-03-11T00:00:00"/>
    <d v="2026-04-08T00:00:00"/>
    <s v="Externa"/>
    <m/>
    <s v="ALEJANDRO RIVAROLA"/>
    <s v=" $1.264.501,58 bruto /_x0009_ $1.032.990,00 neto"/>
    <s v="130/75"/>
    <s v="No"/>
    <m/>
    <m/>
  </r>
  <r>
    <s v="00168"/>
    <d v="2026-02-18T00:00:00"/>
    <s v="Cerrada"/>
    <x v="0"/>
    <s v="Aprobada"/>
    <m/>
    <m/>
    <m/>
    <m/>
    <s v="PREPAGA"/>
    <s v="Cobensil"/>
    <s v="Cobranzas"/>
    <s v="Administración y Finanzas"/>
    <s v="Comercial, ventas y cobranzas"/>
    <s v="Cobrador/a"/>
    <s v="Florencia Rodriguez"/>
    <m/>
    <x v="0"/>
    <x v="0"/>
    <m/>
    <m/>
    <m/>
    <s v="Reemplazo"/>
    <m/>
    <s v="Cinthya Uncal"/>
    <m/>
    <s v="Plazo Fijo"/>
    <m/>
    <m/>
    <s v="Lunes a Viernes de 14h a 20hs, Sabado x medio de 9 a 13hs (Part time)"/>
    <s v="Ravignani"/>
    <d v="2026-02-19T00:00:00"/>
    <d v="2026-03-02T00:00:00"/>
    <m/>
    <m/>
    <s v="Natacha Burgardt"/>
    <s v="$711.303,94 bruto / $564.434,00 neto"/>
    <s v="130/75"/>
    <s v="No"/>
    <s v="No"/>
    <s v="Actualmente hay una candidata para ingresar"/>
  </r>
  <r>
    <s v="00169"/>
    <d v="2026-02-18T00:00:00"/>
    <s v="Cerrada"/>
    <x v="1"/>
    <s v="Aprobada"/>
    <m/>
    <m/>
    <m/>
    <m/>
    <s v="SANATORIO COLEGIALES"/>
    <m/>
    <s v="Comercial"/>
    <s v="Administración y Finanzas"/>
    <s v="Analista"/>
    <s v="Analista de convenios"/>
    <s v="Alejandro Poeta"/>
    <m/>
    <x v="0"/>
    <x v="0"/>
    <m/>
    <s v="Media"/>
    <s v="Alta "/>
    <s v="Apertura de puesto"/>
    <m/>
    <m/>
    <m/>
    <s v="Inderminado "/>
    <m/>
    <m/>
    <s v="Lunes a viernes de 9 a 18hs"/>
    <s v="La Musa"/>
    <d v="2026-03-30T00:00:00"/>
    <d v="2026-04-06T00:00:00"/>
    <s v="Externa"/>
    <s v="Linkedln "/>
    <s v="Pedro Goicochea "/>
    <s v="$1.700.000 netos"/>
    <s v="FUCO"/>
    <s v="Si"/>
    <s v="No"/>
    <s v="12-12 analizando cv´s, 4 cnadidatos con diferencias salariales, paso a poetea 2 perfiles Delfina Musso y Valeria Santa Cruz , pasa a preo Delfina Musso el 26-12, el 23/01 indico Delfina Musso que no iba a ingresar de su trabajo le pidieron que se quedara. Se retoma el filtrado de CV´s 26-01."/>
  </r>
  <r>
    <s v="00170"/>
    <d v="2026-02-18T00:00:00"/>
    <s v="Cerrada"/>
    <x v="2"/>
    <s v="Aprobada"/>
    <m/>
    <m/>
    <m/>
    <m/>
    <s v="SANATORIO COLEGIALES"/>
    <m/>
    <s v="Admisión"/>
    <s v="Imágenes"/>
    <s v="Administrativo/a"/>
    <s v="Asesor al Paciente"/>
    <s v="Gomez"/>
    <m/>
    <x v="0"/>
    <x v="0"/>
    <m/>
    <s v="Baja"/>
    <m/>
    <s v="Reemplazo"/>
    <m/>
    <s v="Nicolas Morrone"/>
    <m/>
    <s v="Inderminado "/>
    <m/>
    <m/>
    <s v="Lunes a Viernes 12.30 a 20.30 hs. Sábados 7 a 13 hs"/>
    <s v="SANATORIO"/>
    <m/>
    <d v="2026-03-23T00:00:00"/>
    <m/>
    <m/>
    <s v="YAMILA PACHECO"/>
    <s v=" $842.805,08 bruto /_x0009_ $697.077,50 neto"/>
    <s v="122/75"/>
    <s v="No"/>
    <m/>
    <m/>
  </r>
  <r>
    <s v="00171"/>
    <d v="2026-02-18T00:00:00"/>
    <s v="Cerrada"/>
    <x v="2"/>
    <s v="Aprobada"/>
    <m/>
    <m/>
    <m/>
    <m/>
    <s v="SANATORIO COLEGIALES"/>
    <m/>
    <s v="Laboratorio"/>
    <s v="Laboratorio"/>
    <s v="Asistencial/Otros"/>
    <s v="Tecnico/a de Laboratorio"/>
    <s v="Scarcelli"/>
    <m/>
    <x v="4"/>
    <x v="8"/>
    <m/>
    <s v="Baja"/>
    <m/>
    <s v="Reemplazo"/>
    <m/>
    <s v="Rodriguez Julieta"/>
    <m/>
    <s v="Inderminado "/>
    <m/>
    <m/>
    <m/>
    <m/>
    <m/>
    <m/>
    <m/>
    <m/>
    <m/>
    <m/>
    <m/>
    <m/>
    <m/>
    <m/>
  </r>
  <r>
    <s v="00172"/>
    <d v="2026-02-18T00:00:00"/>
    <s v="Cerrada"/>
    <x v="0"/>
    <s v="Aprobada"/>
    <m/>
    <m/>
    <m/>
    <m/>
    <s v="PREPAGA"/>
    <s v="Bristol Medicine SRL"/>
    <s v="Ventas Retail"/>
    <s v="Comercial"/>
    <s v="Comercial, ventas y cobranzas"/>
    <s v="VENDEDOR/A"/>
    <s v="Serafin"/>
    <m/>
    <x v="0"/>
    <x v="0"/>
    <m/>
    <s v="Baja"/>
    <s v="Media"/>
    <s v="Reemplazo"/>
    <n v="169836"/>
    <s v="Adrian Torosantucci"/>
    <s v="Renuncia "/>
    <s v="Inderminado "/>
    <m/>
    <m/>
    <s v="Lunes a Viernes de 10 a 17hs"/>
    <s v="Céspedes 3249"/>
    <d v="2026-04-10T00:00:00"/>
    <d v="2026-04-16T00:00:00"/>
    <m/>
    <s v="Consultora"/>
    <s v="Italo Rivera"/>
    <s v="$1.014.583,64 bruto / $850.802,00 neto"/>
    <s v="108/75"/>
    <s v="No"/>
    <m/>
    <m/>
  </r>
  <r>
    <s v="00173"/>
    <d v="2026-02-18T00:00:00"/>
    <s v="Cerrada"/>
    <x v="0"/>
    <s v="Aprobada"/>
    <m/>
    <m/>
    <m/>
    <m/>
    <s v="PREPAGA"/>
    <s v="Cobensil SA"/>
    <s v="Ventas Retail"/>
    <s v="Comercial"/>
    <s v="Comercial, ventas y cobranzas"/>
    <s v="VENDEDOR/A"/>
    <s v="Serafin"/>
    <m/>
    <x v="0"/>
    <x v="0"/>
    <m/>
    <s v="Baja"/>
    <s v="Media"/>
    <s v="Reemplazo"/>
    <n v="1088"/>
    <s v="SANCHEZ OLIVERA, ROMINA"/>
    <s v="Desvinculación empresa"/>
    <s v="Inderminado "/>
    <m/>
    <m/>
    <s v="Lunes a Viernes de 10 a 18hs"/>
    <s v="Lacroze 3257"/>
    <d v="2026-04-10T00:00:00"/>
    <d v="2026-04-16T00:00:00"/>
    <m/>
    <s v="Consultora"/>
    <s v="Lautaro Alan Bazan"/>
    <s v="$1.315.682,00 bruto /  $1.077.223,50 neto"/>
    <s v="130/75"/>
    <s v="No"/>
    <m/>
    <m/>
  </r>
  <r>
    <s v="00174"/>
    <d v="2026-02-18T00:00:00"/>
    <n v="69"/>
    <x v="0"/>
    <s v="Aprobada"/>
    <m/>
    <m/>
    <m/>
    <m/>
    <s v="PREPAGA"/>
    <s v="Cobensil SA"/>
    <s v="Ventas Retail"/>
    <s v="Comercial"/>
    <s v="Comercial, ventas y cobranzas"/>
    <s v="VENDEDOR/A"/>
    <s v="Serafin"/>
    <m/>
    <x v="3"/>
    <x v="4"/>
    <d v="2026-05-11T00:00:00"/>
    <s v="Baja"/>
    <s v="Media"/>
    <s v="Apertura de puesto"/>
    <m/>
    <m/>
    <m/>
    <s v="Inderminado "/>
    <m/>
    <m/>
    <m/>
    <m/>
    <m/>
    <m/>
    <m/>
    <s v="Consultora"/>
    <m/>
    <m/>
    <m/>
    <s v="No"/>
    <m/>
    <m/>
  </r>
  <r>
    <s v="00175"/>
    <d v="2026-02-18T00:00:00"/>
    <s v="Cerrada"/>
    <x v="0"/>
    <s v="Aprobada"/>
    <m/>
    <m/>
    <m/>
    <m/>
    <s v="PREPAGA"/>
    <s v="Cobensil SA"/>
    <s v="Ventas Retail"/>
    <s v="Comercial"/>
    <s v="Comercial, ventas y cobranzas"/>
    <s v="VENDEDOR/A"/>
    <s v="Serafin"/>
    <m/>
    <x v="0"/>
    <x v="0"/>
    <m/>
    <s v="Baja"/>
    <s v="Media"/>
    <s v="Apertura de puesto"/>
    <m/>
    <m/>
    <m/>
    <s v="Inderminado "/>
    <m/>
    <m/>
    <s v="Lunes a Viernes de 10 a 18hs"/>
    <s v="Av Maipu 1680"/>
    <d v="2026-04-10T00:00:00"/>
    <d v="2026-04-16T00:00:00"/>
    <m/>
    <s v="Consultora"/>
    <s v="Gustavo Enrique Perez Cañizalez"/>
    <s v="$1.315.682,00 bruto /  $1.077.223,50 neto"/>
    <s v="130/75"/>
    <s v="No"/>
    <m/>
    <m/>
  </r>
  <r>
    <s v="00176"/>
    <d v="2026-02-18T00:00:00"/>
    <s v="Cerrada"/>
    <x v="0"/>
    <s v="Aprobada"/>
    <m/>
    <m/>
    <m/>
    <m/>
    <s v="PREPAGA"/>
    <s v="Cobensil SA"/>
    <s v="Ventas Retail"/>
    <s v="Comercial"/>
    <s v="Comercial, ventas y cobranzas"/>
    <s v="VENDEDOR/A"/>
    <s v="Serafin"/>
    <m/>
    <x v="0"/>
    <x v="0"/>
    <m/>
    <s v="Baja"/>
    <s v="Media"/>
    <s v="Apertura de puesto"/>
    <m/>
    <m/>
    <m/>
    <s v="Inderminado "/>
    <m/>
    <m/>
    <s v="Lunes a Viernes de 10 a 18hs"/>
    <s v="Av Maipu 1680"/>
    <d v="2026-04-14T00:00:00"/>
    <d v="2026-04-16T00:00:00"/>
    <m/>
    <s v="Consultora"/>
    <s v="Sabrina Gonzalez"/>
    <s v="$1.315.682,00 bruto /  $1.077.223,50 neto"/>
    <s v="130/75"/>
    <s v="No"/>
    <m/>
    <m/>
  </r>
  <r>
    <s v="00177"/>
    <d v="2026-02-20T00:00:00"/>
    <n v="67"/>
    <x v="0"/>
    <s v="Aprobada"/>
    <m/>
    <m/>
    <m/>
    <m/>
    <s v="PREPAGA"/>
    <m/>
    <s v="Ventas Retail"/>
    <s v="Comercial"/>
    <s v="Comercial, ventas y cobranzas"/>
    <s v="VENDEDOR/A"/>
    <s v="Serafin"/>
    <m/>
    <x v="3"/>
    <x v="4"/>
    <d v="2026-05-11T00:00:00"/>
    <s v="Baja"/>
    <s v="Media"/>
    <s v="Reemplazo"/>
    <n v="157853"/>
    <s v="MENDIETA, MARTIN JULIAN"/>
    <s v="Renuncia "/>
    <s v="Inderminado "/>
    <m/>
    <m/>
    <m/>
    <m/>
    <m/>
    <m/>
    <m/>
    <m/>
    <m/>
    <m/>
    <m/>
    <m/>
    <m/>
    <m/>
  </r>
  <r>
    <s v="00178"/>
    <d v="2026-02-24T00:00:00"/>
    <n v="63"/>
    <x v="0"/>
    <s v="Aprobada"/>
    <m/>
    <m/>
    <m/>
    <m/>
    <s v="PREPAGA"/>
    <m/>
    <s v="Ventas Retail"/>
    <s v="Comercial"/>
    <s v="Comercial, ventas y cobranzas"/>
    <s v="VENDEDOR/A"/>
    <s v="Serafin"/>
    <m/>
    <x v="3"/>
    <x v="4"/>
    <d v="2026-05-11T00:00:00"/>
    <s v="Baja"/>
    <s v="Media"/>
    <s v="Reemplazo"/>
    <n v="1002"/>
    <s v="Ferreyra, Maria Pia"/>
    <s v="Renuncia "/>
    <s v="Inderminado "/>
    <m/>
    <m/>
    <m/>
    <m/>
    <m/>
    <m/>
    <m/>
    <m/>
    <m/>
    <m/>
    <m/>
    <m/>
    <m/>
    <m/>
  </r>
  <r>
    <s v="00179"/>
    <d v="2026-02-26T00:00:00"/>
    <n v="61"/>
    <x v="0"/>
    <s v="Aprobada"/>
    <m/>
    <m/>
    <m/>
    <m/>
    <s v="PREPAGA"/>
    <m/>
    <s v="Ventas Retail"/>
    <s v="Comercial"/>
    <s v="Comercial, ventas y cobranzas"/>
    <s v="VENDEDOR/A"/>
    <s v="Serafin"/>
    <m/>
    <x v="3"/>
    <x v="4"/>
    <d v="2026-05-11T00:00:00"/>
    <s v="Baja"/>
    <s v="Media"/>
    <s v="Reemplazo"/>
    <n v="154670"/>
    <s v="GONZALEZ, CONSTANZA ROMINA"/>
    <s v="Renuncia "/>
    <s v="Inderminado "/>
    <m/>
    <m/>
    <m/>
    <m/>
    <m/>
    <m/>
    <m/>
    <m/>
    <m/>
    <m/>
    <m/>
    <m/>
    <m/>
    <m/>
  </r>
  <r>
    <s v="00180"/>
    <d v="2026-02-18T00:00:00"/>
    <s v="Cerrada"/>
    <x v="1"/>
    <s v="Aprobada"/>
    <m/>
    <m/>
    <m/>
    <m/>
    <s v="SANATORIO COLEGIALES"/>
    <s v="DESARROLLO"/>
    <s v="Comercial"/>
    <s v="Administración y Finanzas"/>
    <s v="Analista IT"/>
    <s v="Analista de datos"/>
    <s v="Alejandro Poeta"/>
    <m/>
    <x v="0"/>
    <x v="0"/>
    <m/>
    <s v="Media"/>
    <s v="Alta "/>
    <s v="Reemplazo"/>
    <m/>
    <s v="Carlos Dominguez"/>
    <m/>
    <s v="Inderminado "/>
    <m/>
    <m/>
    <m/>
    <s v="La Musa"/>
    <d v="2026-03-30T00:00:00"/>
    <d v="2026-04-06T00:00:00"/>
    <s v="Externa"/>
    <s v="Computrabajo "/>
    <s v="Felipe Herrera Duran"/>
    <s v="$1.800.000 netos"/>
    <s v="FUCO"/>
    <m/>
    <s v="No"/>
    <m/>
  </r>
  <r>
    <s v="00181"/>
    <d v="2026-02-18T00:00:00"/>
    <s v="Cerrada"/>
    <x v="0"/>
    <s v="Aprobada"/>
    <m/>
    <m/>
    <m/>
    <m/>
    <s v="CMV"/>
    <m/>
    <s v="Operaciones"/>
    <s v="Operaciones"/>
    <s v="Administrativo/a"/>
    <s v="Administrativo/a de atención al paciente"/>
    <s v="Federico Carrasquera"/>
    <m/>
    <x v="4"/>
    <x v="5"/>
    <m/>
    <s v="Baja"/>
    <s v="Media"/>
    <s v="Reemplazo"/>
    <m/>
    <s v="Jessica Sanchez"/>
    <m/>
    <s v="Inderminado "/>
    <m/>
    <m/>
    <s v="L a V - 13 a 21 hs / S por medio de 8 a 14 ( es la única persona en este horario ) "/>
    <s v="CMV"/>
    <d v="2026-03-13T00:00:00"/>
    <m/>
    <s v="Externa"/>
    <m/>
    <s v="Juliana Paint / Octavio Cuenca"/>
    <s v=" $1.269.476,21"/>
    <s v="Comercio 130/75"/>
    <s v="No"/>
    <s v="No"/>
    <s v="Se cerro con un pase interno"/>
  </r>
  <r>
    <s v="00182"/>
    <d v="2026-01-30T00:00:00"/>
    <n v="88"/>
    <x v="1"/>
    <s v="Aprobada"/>
    <m/>
    <m/>
    <m/>
    <m/>
    <s v="SANATORIO COLEGIALES"/>
    <s v="CIRENDSA"/>
    <s v="Hotelería"/>
    <s v="Internación"/>
    <s v="Liderazgo"/>
    <s v="Supervisor/a de Hotelería"/>
    <s v="Valeria Dodero"/>
    <m/>
    <x v="3"/>
    <x v="4"/>
    <d v="2026-05-11T00:00:00"/>
    <s v="Baja"/>
    <s v="Media"/>
    <s v="Reemplazo"/>
    <m/>
    <s v="Abaca E"/>
    <m/>
    <s v="Inderminado "/>
    <m/>
    <m/>
    <s v=" 6 a 14 hs"/>
    <s v="SANATORIO"/>
    <m/>
    <m/>
    <m/>
    <m/>
    <m/>
    <s v=" $1.513.275,78 bruto /_x0009_ $1.261.886,00 neto"/>
    <s v="122/75"/>
    <s v="No"/>
    <m/>
    <s v="Gladys Servin apto en preocupacional. Vale Dodero decide no avanzar por su psicotécnico"/>
  </r>
  <r>
    <s v="00183"/>
    <d v="2026-02-19T00:00:00"/>
    <s v="Cerrada"/>
    <x v="1"/>
    <s v="Aprobada"/>
    <m/>
    <s v="No"/>
    <m/>
    <m/>
    <s v="CMV"/>
    <m/>
    <s v="Operaciones"/>
    <s v="Operaciones"/>
    <s v="Liderazgo"/>
    <s v="Referente Administrativo de Atención al Publico"/>
    <s v="Federico Carrasquera"/>
    <m/>
    <x v="0"/>
    <x v="0"/>
    <m/>
    <s v="Media"/>
    <s v="Alta "/>
    <s v="Reemplazo"/>
    <m/>
    <s v="Juan Manuel Guzman"/>
    <m/>
    <s v="Inderminado "/>
    <m/>
    <m/>
    <s v="L a V de 13hs a 21hs / S por medio de 08 a 14hs"/>
    <s v="CMV"/>
    <d v="2026-03-13T00:00:00"/>
    <d v="2026-03-17T00:00:00"/>
    <s v="Externa"/>
    <s v="Computrabajo "/>
    <s v="Yanina de la Rosa"/>
    <s v="$ 1,742,902,82 bruto - $1,418,103 Netos"/>
    <s v="Comercio 130/75"/>
    <s v="No"/>
    <s v="No"/>
    <s v="Referente"/>
  </r>
  <r>
    <s v="00184"/>
    <d v="2026-02-20T00:00:00"/>
    <s v="Cerrada"/>
    <x v="4"/>
    <s v="Rechazada"/>
    <m/>
    <s v="No"/>
    <s v="No"/>
    <m/>
    <s v="PREPAGA"/>
    <m/>
    <s v="EXPERIENCIA DE CLIENTES"/>
    <s v="EXPERIENCIA DE CLIENTES"/>
    <s v="Analista"/>
    <s v="Analista de CX"/>
    <s v="Veronica Casati"/>
    <m/>
    <x v="1"/>
    <x v="1"/>
    <m/>
    <m/>
    <m/>
    <s v="Apertura de puesto"/>
    <m/>
    <m/>
    <m/>
    <s v="Inderminado "/>
    <m/>
    <m/>
    <m/>
    <m/>
    <m/>
    <m/>
    <m/>
    <m/>
    <m/>
    <m/>
    <m/>
    <m/>
    <m/>
    <m/>
  </r>
  <r>
    <s v="00185"/>
    <d v="2026-02-20T00:00:00"/>
    <s v="Cerrada"/>
    <x v="4"/>
    <s v="Aprobada"/>
    <m/>
    <s v="No"/>
    <s v="No"/>
    <m/>
    <s v="PREPAGA"/>
    <m/>
    <s v="EXPERIENCIA DE CLIENTES"/>
    <s v="EXPERIENCIA DE CLIENTES"/>
    <s v="Liderazgo"/>
    <s v="Coordinador/a de Sucursales"/>
    <s v="Veronica Casati"/>
    <m/>
    <x v="4"/>
    <x v="5"/>
    <m/>
    <m/>
    <m/>
    <s v="Reemplazo"/>
    <m/>
    <s v="Leandro Lopez"/>
    <m/>
    <s v="Inderminado "/>
    <m/>
    <m/>
    <m/>
    <m/>
    <m/>
    <m/>
    <m/>
    <m/>
    <m/>
    <m/>
    <m/>
    <m/>
    <m/>
    <m/>
  </r>
  <r>
    <s v="00186"/>
    <d v="2026-02-23T00:00:00"/>
    <s v="Cerrada"/>
    <x v="2"/>
    <s v="Aprobada"/>
    <m/>
    <m/>
    <m/>
    <m/>
    <s v="CORPO"/>
    <s v="Healthnes"/>
    <s v="Contact Center"/>
    <s v="Operaciones"/>
    <s v="Administrativo/a"/>
    <s v="Operador call center"/>
    <s v="Zukoski"/>
    <m/>
    <x v="0"/>
    <x v="0"/>
    <m/>
    <s v="Baja"/>
    <s v="Media"/>
    <s v="Reemplazo"/>
    <m/>
    <s v="Oriana Romero"/>
    <m/>
    <s v="Eventual "/>
    <m/>
    <m/>
    <s v="Lunes a Sábados 9 a 14 (25 hs)"/>
    <s v="CONTACT CENTER"/>
    <d v="2026-03-03T00:00:00"/>
    <d v="2026-03-09T00:00:00"/>
    <m/>
    <m/>
    <s v="VANESSA RUIZ"/>
    <s v="$710.649,96 bruto / $567.231,00 neto"/>
    <s v="130/75"/>
    <s v="No"/>
    <s v="No"/>
    <m/>
  </r>
  <r>
    <s v="00187"/>
    <d v="2026-02-23T00:00:00"/>
    <s v="Cerrada"/>
    <x v="0"/>
    <s v="Aprobada"/>
    <m/>
    <m/>
    <m/>
    <m/>
    <s v="CORPO"/>
    <s v="Healthnes"/>
    <s v="Contact Center"/>
    <s v="Operaciones"/>
    <s v="Administrativo/a"/>
    <s v="Operador call center"/>
    <s v="Zukoski"/>
    <m/>
    <x v="0"/>
    <x v="0"/>
    <d v="2026-04-21T00:00:00"/>
    <s v="Baja"/>
    <s v="Alta "/>
    <s v="Reemplazo"/>
    <m/>
    <s v="Vera Rose (Camila Beraldi)"/>
    <s v="Renuncia "/>
    <s v="Inderminado "/>
    <m/>
    <m/>
    <s v="Lunes a Viernes 14 a 19 hs. Sábados 9 a 14 hs (25 hs) "/>
    <s v="CONTACT CENTER"/>
    <d v="2026-04-07T00:00:00"/>
    <m/>
    <m/>
    <m/>
    <s v="Oriana Taylor"/>
    <s v=" $710.649,96 bruto /_x0009_ $567.231,00 neto"/>
    <s v="130/75"/>
    <s v="No"/>
    <s v="No"/>
    <m/>
  </r>
  <r>
    <s v="00188"/>
    <d v="2026-02-23T00:00:00"/>
    <s v="Cerrada"/>
    <x v="2"/>
    <s v="Aprobada"/>
    <m/>
    <m/>
    <m/>
    <m/>
    <s v="SANATORIO COLEGIALES"/>
    <s v="CIRENDSA"/>
    <s v="Hotelería"/>
    <s v="Internación"/>
    <s v="Servicios Generales"/>
    <s v="MUCAMO/A"/>
    <s v="Valeria Dodero"/>
    <m/>
    <x v="0"/>
    <x v="0"/>
    <m/>
    <s v="Baja"/>
    <s v="Baja "/>
    <s v="Reemplazo"/>
    <m/>
    <s v="Melisa Aponte"/>
    <s v="Renuncia "/>
    <s v="Inderminado "/>
    <m/>
    <m/>
    <s v="6 a 14 hs"/>
    <s v="SANATORIO"/>
    <d v="2026-04-20T00:00:00"/>
    <d v="2026-04-20T00:00:00"/>
    <m/>
    <m/>
    <s v="PAULA MENDEZ"/>
    <s v="Eventual. Se efectiviza el puesto"/>
    <s v="122/75"/>
    <s v="No"/>
    <s v="No"/>
    <m/>
  </r>
  <r>
    <s v="00189"/>
    <d v="2026-02-23T00:00:00"/>
    <n v="64"/>
    <x v="4"/>
    <s v="Aprobada"/>
    <m/>
    <m/>
    <m/>
    <m/>
    <s v="CORPO"/>
    <s v="Healtnes"/>
    <s v="Mantenimiento"/>
    <s v="Servicios de Apoyo"/>
    <s v="Especialista"/>
    <s v="ARQUITECTO/A"/>
    <s v="Emilio Zalis"/>
    <m/>
    <x v="2"/>
    <x v="2"/>
    <d v="2026-06-15T00:00:00"/>
    <s v="Alta "/>
    <s v="Media"/>
    <s v="Reemplazo"/>
    <m/>
    <s v="Confidencial "/>
    <m/>
    <s v="Inderminado "/>
    <m/>
    <m/>
    <m/>
    <m/>
    <m/>
    <m/>
    <m/>
    <m/>
    <m/>
    <m/>
    <m/>
    <m/>
    <m/>
    <m/>
  </r>
  <r>
    <s v="00190"/>
    <d v="2026-02-25T00:00:00"/>
    <s v="Cerrada"/>
    <x v="2"/>
    <s v="Aprobada"/>
    <m/>
    <s v="No"/>
    <s v="No"/>
    <m/>
    <s v="SANATORIO COLEGIALES"/>
    <s v="CIRENDSA"/>
    <s v="Enfermeria"/>
    <s v="INTERNACION"/>
    <s v="Asistencial/Enfermería"/>
    <s v="Enfermero/a de Internación"/>
    <s v="Noelia Alvez"/>
    <m/>
    <x v="0"/>
    <x v="0"/>
    <m/>
    <s v="Baja"/>
    <s v="Baja"/>
    <s v="Reemplazo"/>
    <n v="159255"/>
    <s v="Ruiz Palma Elvira"/>
    <s v="Renuncia "/>
    <s v="Indeterminado "/>
    <m/>
    <m/>
    <s v="6 a 14 hs"/>
    <s v="SANATORIO"/>
    <d v="2026-04-20T00:00:00"/>
    <d v="2026-04-20T00:00:00"/>
    <m/>
    <m/>
    <s v="HELEN QUENTA"/>
    <s v="Eventual. Se efectiviza el puesto"/>
    <s v="122/75"/>
    <s v="No"/>
    <s v="No"/>
    <m/>
  </r>
  <r>
    <s v="00191"/>
    <d v="2026-02-25T00:00:00"/>
    <s v="Cerrada"/>
    <x v="2"/>
    <s v="Aprobada"/>
    <m/>
    <m/>
    <m/>
    <m/>
    <s v="SANATORIO COLEGIALES"/>
    <s v="CIRENDSA"/>
    <s v="Enfermeria"/>
    <s v="INTERNACION"/>
    <s v="Asistencial/Enfermería"/>
    <s v="Enfermero/a de Internación"/>
    <s v="Noelia Alvez"/>
    <m/>
    <x v="0"/>
    <x v="0"/>
    <m/>
    <s v="Baja"/>
    <s v="Alta "/>
    <s v="Reemplazo"/>
    <m/>
    <s v="Ana Cespedes"/>
    <s v="Sobre cápita"/>
    <s v="Indeterminado "/>
    <m/>
    <m/>
    <s v="TM - 6 a 14 hs"/>
    <s v="SANATORIO"/>
    <d v="2026-04-20T00:00:00"/>
    <d v="2026-04-20T00:00:00"/>
    <m/>
    <m/>
    <m/>
    <s v="Eventual. Se efectiviza el puesto"/>
    <s v="122/75"/>
    <s v="No"/>
    <s v="No"/>
    <s v="CM TM / Sobre Cápita"/>
  </r>
  <r>
    <s v="00192"/>
    <d v="2026-02-26T00:00:00"/>
    <n v="61"/>
    <x v="4"/>
    <s v="Aprobada"/>
    <m/>
    <s v="Si"/>
    <m/>
    <m/>
    <s v="CORPO"/>
    <m/>
    <s v="Compras"/>
    <s v="Administración y Finanzas"/>
    <s v="Liderazgo"/>
    <s v="Gerente/a de Compras"/>
    <s v="Emilio Zalis"/>
    <s v="Maria Rodriguez"/>
    <x v="2"/>
    <x v="3"/>
    <d v="2026-06-15T00:00:00"/>
    <s v="Alta"/>
    <s v="Alta "/>
    <s v="Apertura de puesto"/>
    <m/>
    <m/>
    <m/>
    <s v="Inderminado "/>
    <m/>
    <m/>
    <m/>
    <m/>
    <m/>
    <m/>
    <m/>
    <m/>
    <m/>
    <m/>
    <m/>
    <m/>
    <m/>
    <s v="Se abre nuevamente la búsqueda. El proceso anterior inicio en 10/2025. Con esta nueva apertura se busca un perfil con foco en compras pero con potencial para tomar áreas de administración y operación"/>
  </r>
  <r>
    <s v="00193"/>
    <d v="2026-02-26T00:00:00"/>
    <s v="Cerrada"/>
    <x v="2"/>
    <s v="Aprobada"/>
    <m/>
    <m/>
    <m/>
    <m/>
    <s v="SANATORIO COLEGIALES"/>
    <m/>
    <s v="Enfermeria"/>
    <s v="INTERNACION"/>
    <s v="Asistencial/Enfermería"/>
    <s v="Enfermero/a de Internación"/>
    <s v="Noelia Alvez"/>
    <m/>
    <x v="0"/>
    <x v="0"/>
    <d v="2026-04-13T00:00:00"/>
    <s v="Baja"/>
    <s v="Alta "/>
    <s v="Reemplazo"/>
    <m/>
    <s v="Jhaneth Choque"/>
    <s v="Sobre cápita"/>
    <s v="Inderminado "/>
    <m/>
    <m/>
    <s v="TM - 6 a 14 hs"/>
    <s v="SANATORIO"/>
    <d v="2026-04-20T00:00:00"/>
    <d v="2026-04-20T00:00:00"/>
    <m/>
    <m/>
    <s v="CHUGAR CASTRO JUAN OMAR"/>
    <s v="Eventual. Se efectiviza el puesto"/>
    <m/>
    <m/>
    <m/>
    <s v="CM TM / Sobre Cápita"/>
  </r>
  <r>
    <s v="00194"/>
    <d v="2026-02-26T00:00:00"/>
    <s v="Cerrada"/>
    <x v="0"/>
    <s v="Aprobada"/>
    <m/>
    <m/>
    <m/>
    <m/>
    <s v="CORPO"/>
    <s v="Healthnes"/>
    <s v="Contact Center"/>
    <s v="Operaciones"/>
    <s v="Administrativo/a"/>
    <s v="Operador call center"/>
    <s v="Zukoski"/>
    <m/>
    <x v="0"/>
    <x v="0"/>
    <d v="2026-04-21T00:00:00"/>
    <s v="Baja"/>
    <s v="Alta "/>
    <s v="Reemplazo"/>
    <m/>
    <s v="Valeria Rojas"/>
    <m/>
    <s v="Inderminado "/>
    <m/>
    <m/>
    <s v="Lunes a Viernes 15 a 20 hs. Sábados 9 a 14 hs (25 hs)"/>
    <s v="CONTACT CENTER"/>
    <d v="2026-04-07T00:00:00"/>
    <m/>
    <m/>
    <m/>
    <s v="Luz Gassman"/>
    <s v=" $710.649,96 bruto /_x0009_ $567.231,00 neto"/>
    <s v="130/75"/>
    <s v="No"/>
    <s v="No"/>
    <m/>
  </r>
  <r>
    <s v="00195"/>
    <d v="2026-02-27T00:00:00"/>
    <s v="Cerrada"/>
    <x v="2"/>
    <s v="Aprobada"/>
    <m/>
    <m/>
    <m/>
    <m/>
    <s v="SANATORIO COLEGIALES"/>
    <s v="CIRENDSA"/>
    <s v="Hotelería"/>
    <s v="Internación"/>
    <s v="Servicios Generales"/>
    <s v="MUCAMO/A"/>
    <s v="Valeria Dodero"/>
    <m/>
    <x v="0"/>
    <x v="0"/>
    <m/>
    <s v="Baja"/>
    <m/>
    <s v="Reemplazo"/>
    <m/>
    <s v="Ayelen Sanchez"/>
    <s v="Renuncia "/>
    <s v="Inderminado "/>
    <m/>
    <m/>
    <s v="14 A 22 HS. Eventual por licencia prolongada de 120019 ROBLES MARTA"/>
    <s v="SANATORIO"/>
    <m/>
    <d v="2026-04-08T00:00:00"/>
    <s v="Externa"/>
    <m/>
    <s v="CRISTINA BRAVO"/>
    <s v=" $1.052.963,43 bruto /_x0009_ $875.067,00 neto"/>
    <s v="122/75"/>
    <s v="No"/>
    <s v="No"/>
    <m/>
  </r>
  <r>
    <s v="00196"/>
    <d v="2026-02-28T00:00:00"/>
    <s v="Cerrada"/>
    <x v="0"/>
    <s v="Aprobada"/>
    <m/>
    <m/>
    <m/>
    <m/>
    <s v="SANATORIO COLEGIALES"/>
    <s v="CIRENDSA"/>
    <s v="Laboratorio"/>
    <s v="Laboratorio"/>
    <s v="Asistencial/Otros"/>
    <s v="Tecnico/a de Laboratorio"/>
    <s v="Scarcelli"/>
    <m/>
    <x v="0"/>
    <x v="9"/>
    <m/>
    <s v="Baja"/>
    <m/>
    <s v="Reemplazo"/>
    <m/>
    <s v="Daiana Bordas"/>
    <m/>
    <s v="Inderminado "/>
    <m/>
    <m/>
    <s v="14:00 a 22:00 de lunes a sabados"/>
    <s v="SANATORIO"/>
    <m/>
    <d v="2026-03-20T00:00:00"/>
    <m/>
    <m/>
    <s v="VIOLETA CHINSKI"/>
    <s v=" $1.520.037,13 bruto /_x0009_ $1.032.783,00 neto"/>
    <s v="122/75"/>
    <s v="No"/>
    <s v="No"/>
    <m/>
  </r>
  <r>
    <s v="00197"/>
    <d v="2026-02-28T00:00:00"/>
    <s v="Cerrada"/>
    <x v="2"/>
    <s v="Aprobada"/>
    <m/>
    <m/>
    <m/>
    <m/>
    <s v="SANATORIO COLEGIALES"/>
    <s v="CIRENDSA"/>
    <s v="Admisión"/>
    <s v="Consultorios Externos"/>
    <s v="Administrativo/a"/>
    <s v="Administrativa/o de Laboratorio"/>
    <s v="Gomez"/>
    <m/>
    <x v="0"/>
    <x v="0"/>
    <m/>
    <s v="Baja"/>
    <s v="Media"/>
    <s v="Reemplazo"/>
    <m/>
    <s v="Sofia de la Peña"/>
    <m/>
    <s v="Inderminado "/>
    <m/>
    <m/>
    <s v="Lu a Vie 08 a 16 hs - Sabado x medio 07 a 15 hs "/>
    <s v="SANATORIO"/>
    <m/>
    <d v="2026-03-23T00:00:00"/>
    <m/>
    <m/>
    <s v="STEFANIA AGÜEROS"/>
    <s v=" $1.164.203,77 bruto /_x0009_ $976.802,50 neto"/>
    <s v="122/75"/>
    <s v="No"/>
    <s v="No"/>
    <m/>
  </r>
  <r>
    <s v="00198"/>
    <d v="2026-03-02T00:00:00"/>
    <s v="Cerrada"/>
    <x v="2"/>
    <s v="Aprobada"/>
    <m/>
    <m/>
    <m/>
    <m/>
    <s v="SANATORIO COLEGIALES"/>
    <s v="CIRENDSA"/>
    <s v="Enfermeria"/>
    <s v="Terapia Intensiva"/>
    <s v="Asistencial/Enfermería"/>
    <s v="Enfermero/a de Terapia Intensiva"/>
    <s v="Noelia Alvez"/>
    <m/>
    <x v="0"/>
    <x v="0"/>
    <m/>
    <s v="Baja"/>
    <s v="Alta "/>
    <s v="Reemplazo"/>
    <m/>
    <s v="Cristian Flores"/>
    <s v="Renuncia "/>
    <s v="Inderminado "/>
    <m/>
    <m/>
    <s v="TT - 14 a 22 HS"/>
    <s v="SANATORIO"/>
    <d v="2026-03-23T00:00:00"/>
    <d v="2026-04-08T00:00:00"/>
    <m/>
    <m/>
    <s v="CARLOS QUINTEROS"/>
    <s v="&quot; $1.444.204,15 bruto /_x0009_ $1.205.247,26 neto&quot;"/>
    <s v="122/75"/>
    <s v="No"/>
    <s v="No"/>
    <m/>
  </r>
  <r>
    <s v="00199"/>
    <d v="2026-03-05T00:00:00"/>
    <n v="54"/>
    <x v="0"/>
    <s v="Aprobada"/>
    <m/>
    <m/>
    <m/>
    <m/>
    <s v="PREPAGA"/>
    <m/>
    <s v="Ventas Retail"/>
    <s v="Comercial"/>
    <s v="Comercial, ventas y cobranzas"/>
    <s v="VENDEDOR/A"/>
    <s v="Serafin"/>
    <m/>
    <x v="3"/>
    <x v="4"/>
    <d v="2026-05-11T00:00:00"/>
    <s v="Baja"/>
    <s v="Media"/>
    <s v="Reemplazo"/>
    <n v="168093"/>
    <s v="PEREDA, VANESSA RITA"/>
    <s v="Renuncia "/>
    <s v="Inderminado "/>
    <m/>
    <m/>
    <m/>
    <m/>
    <m/>
    <m/>
    <m/>
    <m/>
    <m/>
    <m/>
    <m/>
    <m/>
    <m/>
    <m/>
  </r>
  <r>
    <s v="00200"/>
    <d v="2026-03-05T00:00:00"/>
    <n v="54"/>
    <x v="0"/>
    <s v="Aprobada"/>
    <m/>
    <m/>
    <m/>
    <m/>
    <s v="PREPAGA"/>
    <m/>
    <s v="Ventas Retail"/>
    <s v="Comercial"/>
    <s v="Comercial, ventas y cobranzas"/>
    <s v="VENDEDOR/A"/>
    <s v="Serafin"/>
    <m/>
    <x v="3"/>
    <x v="4"/>
    <d v="2026-05-11T00:00:00"/>
    <s v="Baja"/>
    <s v="Media"/>
    <s v="Reemplazo"/>
    <n v="818"/>
    <s v="Contreras, Paula"/>
    <s v="Renuncia "/>
    <s v="Inderminado "/>
    <m/>
    <m/>
    <m/>
    <m/>
    <m/>
    <m/>
    <m/>
    <m/>
    <m/>
    <m/>
    <m/>
    <m/>
    <m/>
    <m/>
  </r>
  <r>
    <s v="00201"/>
    <d v="2026-03-23T00:00:00"/>
    <n v="36"/>
    <x v="0"/>
    <s v="Aprobada"/>
    <m/>
    <m/>
    <m/>
    <m/>
    <s v="PREPAGA"/>
    <m/>
    <s v="Ventas Retail"/>
    <s v="Comercial"/>
    <s v="Comercial, ventas y cobranzas"/>
    <s v="VENDEDOR/A"/>
    <s v="Serafin"/>
    <m/>
    <x v="3"/>
    <x v="4"/>
    <d v="2026-05-11T00:00:00"/>
    <s v="Baja"/>
    <s v="Media"/>
    <s v="Reemplazo"/>
    <n v="1036"/>
    <s v="Miranda, Daira"/>
    <s v="Renuncia "/>
    <s v="Inderminado "/>
    <m/>
    <m/>
    <m/>
    <m/>
    <m/>
    <m/>
    <m/>
    <m/>
    <m/>
    <m/>
    <m/>
    <m/>
    <m/>
    <m/>
  </r>
  <r>
    <s v="00202"/>
    <d v="2026-03-23T00:00:00"/>
    <n v="36"/>
    <x v="0"/>
    <s v="Aprobada"/>
    <m/>
    <m/>
    <m/>
    <m/>
    <s v="PREPAGA"/>
    <m/>
    <s v="Ventas Retail"/>
    <s v="Comercial"/>
    <s v="Comercial, ventas y cobranzas"/>
    <s v="VENDEDOR/A"/>
    <s v="Serafin"/>
    <m/>
    <x v="3"/>
    <x v="4"/>
    <d v="2026-05-11T00:00:00"/>
    <s v="Baja"/>
    <s v="Media"/>
    <s v="Reemplazo"/>
    <n v="170601"/>
    <s v="ROJAS VIDABLE, ROMINA LORENA"/>
    <s v="Renuncia "/>
    <s v="Inderminado "/>
    <m/>
    <m/>
    <m/>
    <m/>
    <m/>
    <m/>
    <m/>
    <m/>
    <m/>
    <m/>
    <m/>
    <m/>
    <m/>
    <m/>
  </r>
  <r>
    <s v="00203"/>
    <d v="2026-03-26T00:00:00"/>
    <n v="33"/>
    <x v="0"/>
    <s v="Aprobada"/>
    <m/>
    <m/>
    <m/>
    <m/>
    <s v="PREPAGA"/>
    <m/>
    <s v="Ventas Retail"/>
    <s v="Comercial"/>
    <s v="Comercial, ventas y cobranzas"/>
    <s v="VENDEDOR/A"/>
    <s v="Serafin"/>
    <m/>
    <x v="3"/>
    <x v="4"/>
    <d v="2026-05-11T00:00:00"/>
    <s v="Baja"/>
    <s v="Media"/>
    <s v="Reemplazo"/>
    <n v="170649"/>
    <s v="DREE, JOEL IGNACIO"/>
    <s v="Desvinculación empresa"/>
    <s v="Inderminado "/>
    <m/>
    <m/>
    <m/>
    <m/>
    <m/>
    <m/>
    <m/>
    <m/>
    <m/>
    <m/>
    <m/>
    <m/>
    <m/>
    <m/>
  </r>
  <r>
    <s v="00204"/>
    <d v="2026-03-30T00:00:00"/>
    <n v="29"/>
    <x v="0"/>
    <s v="Aprobada"/>
    <m/>
    <m/>
    <m/>
    <m/>
    <s v="PREPAGA"/>
    <m/>
    <s v="Ventas Retail"/>
    <s v="Comercial"/>
    <s v="Comercial, ventas y cobranzas"/>
    <s v="VENDEDOR/A"/>
    <s v="Serafin"/>
    <m/>
    <x v="3"/>
    <x v="4"/>
    <d v="2026-05-11T00:00:00"/>
    <s v="Baja"/>
    <s v="Media"/>
    <s v="Reemplazo"/>
    <n v="1099"/>
    <s v="GONZALEZ, RODRIGO CRISTIAN EMMANUEL"/>
    <s v="Renuncia "/>
    <s v="Inderminado "/>
    <m/>
    <m/>
    <m/>
    <m/>
    <m/>
    <m/>
    <m/>
    <m/>
    <m/>
    <m/>
    <m/>
    <m/>
    <m/>
    <m/>
  </r>
  <r>
    <s v="00205"/>
    <d v="2026-03-06T00:00:00"/>
    <s v="Cerrada"/>
    <x v="0"/>
    <s v="Aprobada"/>
    <m/>
    <s v="No"/>
    <m/>
    <m/>
    <s v="CMV"/>
    <m/>
    <s v="OPERACIONES"/>
    <s v="Operaciones"/>
    <s v="Administrativo/a"/>
    <s v="Administrativo/a de atención al paciente"/>
    <s v="Federico Carrasquera"/>
    <m/>
    <x v="4"/>
    <x v="5"/>
    <m/>
    <s v="Baja"/>
    <s v="Media"/>
    <s v="Reemplazo"/>
    <m/>
    <s v="Lorena Gramajo"/>
    <s v="Renuncia "/>
    <s v="Inderminado "/>
    <m/>
    <m/>
    <s v="L a V de 09hs a 17hs o 13hs a 21hs / S por medio de 07 a 15hs"/>
    <s v="CMV"/>
    <m/>
    <m/>
    <m/>
    <m/>
    <s v="Raul Croes"/>
    <m/>
    <m/>
    <m/>
    <m/>
    <m/>
  </r>
  <r>
    <s v="00206"/>
    <d v="2026-03-06T00:00:00"/>
    <s v="Cerrada"/>
    <x v="1"/>
    <s v="Rechazada"/>
    <m/>
    <s v="No"/>
    <s v="No"/>
    <m/>
    <s v="CORPO"/>
    <m/>
    <s v="Compras"/>
    <s v="COMPRAS"/>
    <s v="Administrativo/a"/>
    <s v="Administrativo/a de compras"/>
    <s v="Fernando Gini"/>
    <s v="Solange Calle"/>
    <x v="1"/>
    <x v="1"/>
    <m/>
    <s v="Baja"/>
    <s v="Media"/>
    <s v="Apertura de puesto"/>
    <m/>
    <m/>
    <s v="Aumento de trabajo "/>
    <s v="Inderminado "/>
    <m/>
    <m/>
    <m/>
    <m/>
    <m/>
    <m/>
    <s v="Interna"/>
    <m/>
    <m/>
    <m/>
    <m/>
    <m/>
    <m/>
    <m/>
  </r>
  <r>
    <s v="00207"/>
    <d v="2026-03-09T00:00:00"/>
    <s v="Cerrada"/>
    <x v="1"/>
    <s v="Aprobada"/>
    <m/>
    <m/>
    <m/>
    <m/>
    <s v="SANATORIO COLEGIALES"/>
    <m/>
    <s v="Hemoterapia"/>
    <s v="Hemoterapia"/>
    <s v="Asistencial/Otros"/>
    <s v="Tecnico/a de Hemoterapia"/>
    <s v="Gonzalez"/>
    <m/>
    <x v="0"/>
    <x v="0"/>
    <m/>
    <s v="Media "/>
    <s v="Alta "/>
    <s v="Reemplazo"/>
    <m/>
    <s v="Lic SANCHEZ, ROSA ESTER"/>
    <s v="Licencia "/>
    <s v="Eventual "/>
    <m/>
    <m/>
    <s v="L a V de 14 a 21h, Sábado de 8 a 12h"/>
    <s v="SANATORIO"/>
    <d v="2026-04-09T00:00:00"/>
    <d v="2025-04-20T00:00:00"/>
    <s v="Externa"/>
    <s v="Referidos"/>
    <s v="Fátima Belén Bisetti"/>
    <s v="$ 1.582.090,14 bruto - $1.307.919,50 neto"/>
    <s v="Sanidad 122/75"/>
    <s v="No"/>
    <s v="No"/>
    <s v="Hemoterapia / Eventual por lic prolongada"/>
  </r>
  <r>
    <s v="00208"/>
    <d v="2026-03-09T00:00:00"/>
    <n v="50"/>
    <x v="1"/>
    <s v="Aprobada"/>
    <m/>
    <s v="Si"/>
    <s v="Si"/>
    <m/>
    <s v="SANATORIO COLEGIALES"/>
    <s v="Desarrollos en Salud SA"/>
    <s v="BIOINGENIERIA"/>
    <s v="Bioingenieria"/>
    <s v="Asistencial/Otros"/>
    <s v="Tecnico/a de Bioingeniería"/>
    <s v="Javier Luder"/>
    <m/>
    <x v="3"/>
    <x v="4"/>
    <d v="2026-05-11T00:00:00"/>
    <s v="Media "/>
    <s v="Alta "/>
    <s v="Reemplazo"/>
    <m/>
    <s v="Ignacio Boris Ahumada"/>
    <s v="Desvinculación empresa"/>
    <s v="Inderminado "/>
    <m/>
    <m/>
    <m/>
    <m/>
    <m/>
    <m/>
    <m/>
    <m/>
    <m/>
    <m/>
    <m/>
    <m/>
    <m/>
    <m/>
  </r>
  <r>
    <s v="00209"/>
    <d v="2026-03-09T00:00:00"/>
    <n v="50"/>
    <x v="1"/>
    <s v="Aprobada"/>
    <m/>
    <s v="Si"/>
    <s v="Si"/>
    <m/>
    <s v="SANATORIO COLEGIALES"/>
    <m/>
    <s v="CIRUGIA"/>
    <s v="Quirófano"/>
    <s v="Asistencial/Otros"/>
    <s v="Tecnico/a de Hemodinamia"/>
    <s v="Samaja"/>
    <m/>
    <x v="3"/>
    <x v="4"/>
    <d v="2026-05-11T00:00:00"/>
    <s v="Alta "/>
    <s v="Alta "/>
    <s v="Reemplazo"/>
    <m/>
    <s v="Liz Marlene Rodriguez"/>
    <s v="Desvinculación empresa"/>
    <s v="Inderminado "/>
    <m/>
    <m/>
    <m/>
    <m/>
    <m/>
    <m/>
    <m/>
    <m/>
    <m/>
    <m/>
    <m/>
    <m/>
    <m/>
    <m/>
  </r>
  <r>
    <s v="00210"/>
    <d v="2026-03-09T00:00:00"/>
    <n v="50"/>
    <x v="4"/>
    <s v="Aprobada"/>
    <m/>
    <s v="Si"/>
    <s v="No"/>
    <m/>
    <s v="CORPO"/>
    <m/>
    <m/>
    <m/>
    <s v="Liderazgo"/>
    <s v="Jefe/a de Padron y Aportes"/>
    <s v="Emilio Zalis"/>
    <s v="Maria Rodriguez"/>
    <x v="2"/>
    <x v="3"/>
    <d v="2026-06-15T00:00:00"/>
    <s v="Alta "/>
    <s v="Alta "/>
    <s v="Apertura de puesto"/>
    <m/>
    <m/>
    <s v="Reorganización del área"/>
    <s v="Inderminado "/>
    <m/>
    <m/>
    <m/>
    <s v="Amenabar"/>
    <m/>
    <m/>
    <m/>
    <m/>
    <m/>
    <m/>
    <m/>
    <m/>
    <m/>
    <m/>
  </r>
  <r>
    <s v="00211"/>
    <d v="2026-03-09T00:00:00"/>
    <s v="Cerrada"/>
    <x v="4"/>
    <s v="Rechazada"/>
    <m/>
    <s v="No"/>
    <m/>
    <m/>
    <s v="PREPAGA"/>
    <m/>
    <s v="Servicios de Administración"/>
    <m/>
    <s v="Liderazgo"/>
    <s v="Coordinador/a de Sucursales"/>
    <s v="Nacho Jauregui"/>
    <m/>
    <x v="1"/>
    <x v="1"/>
    <m/>
    <s v="N/A"/>
    <s v="N/A"/>
    <s v="Reemplazo"/>
    <m/>
    <s v="Veronica Casati "/>
    <s v="Renuncia "/>
    <s v="Inderminado "/>
    <m/>
    <m/>
    <m/>
    <m/>
    <m/>
    <m/>
    <m/>
    <m/>
    <m/>
    <m/>
    <m/>
    <m/>
    <m/>
    <m/>
  </r>
  <r>
    <s v="00212"/>
    <d v="2026-03-09T00:00:00"/>
    <n v="50"/>
    <x v="4"/>
    <s v="Aprobada"/>
    <m/>
    <s v="No"/>
    <m/>
    <m/>
    <s v="CORPO"/>
    <m/>
    <s v="GESTION DE PERSONAS"/>
    <s v="ADMINISTRACION Y FINANZAS"/>
    <s v="Analista"/>
    <s v="Analista de Procesos de RRHH"/>
    <s v="Daniela Librizzi"/>
    <m/>
    <x v="3"/>
    <x v="4"/>
    <d v="2026-05-11T00:00:00"/>
    <s v="Alta "/>
    <s v="Alta "/>
    <s v="Reemplazo"/>
    <m/>
    <s v="Eduardo "/>
    <s v="Desvinculación empresa"/>
    <s v="Inderminado "/>
    <m/>
    <m/>
    <m/>
    <s v="La Musa"/>
    <m/>
    <m/>
    <s v="Externa"/>
    <m/>
    <m/>
    <m/>
    <m/>
    <m/>
    <m/>
    <m/>
  </r>
  <r>
    <s v="00213"/>
    <d v="2026-03-12T00:00:00"/>
    <n v="47"/>
    <x v="2"/>
    <s v="Aprobada"/>
    <m/>
    <m/>
    <m/>
    <m/>
    <s v="SANATORIO COLEGIALES"/>
    <s v="CIRENDSA"/>
    <s v="Enfermeria"/>
    <s v="Terapia Intensiva"/>
    <s v="Asistencial/Enfermería"/>
    <s v="Enfermero/a de Terapia Intensiva"/>
    <s v="Noelia Alvez"/>
    <m/>
    <x v="3"/>
    <x v="6"/>
    <d v="2026-05-04T00:00:00"/>
    <s v="Baja"/>
    <s v="Alta "/>
    <s v="Reemplazo"/>
    <m/>
    <s v="Sofia Ptasik"/>
    <s v="Desvinculación empresa"/>
    <s v="Inderminado "/>
    <m/>
    <m/>
    <s v="6 a 14 hs"/>
    <s v="SANATORIO"/>
    <d v="2026-04-20T00:00:00"/>
    <d v="2026-05-04T00:00:00"/>
    <s v="Externa"/>
    <m/>
    <s v="Vanesa Baez"/>
    <s v=" $1.732.557,22 bruto /_x0009_ $1.445.732,50 neto"/>
    <s v="122/75"/>
    <m/>
    <m/>
    <m/>
  </r>
  <r>
    <s v="00214"/>
    <d v="2026-03-12T00:00:00"/>
    <n v="47"/>
    <x v="2"/>
    <s v="Aprobada"/>
    <m/>
    <m/>
    <m/>
    <m/>
    <s v="SANATORIO COLEGIALES"/>
    <s v="CIRENDSA"/>
    <s v="Enfermeria"/>
    <s v="INTERNACION"/>
    <s v="Asistencial/Enfermería"/>
    <s v="Enfermero/a de Internación"/>
    <s v="Noelia Alvez"/>
    <m/>
    <x v="2"/>
    <x v="7"/>
    <d v="2026-05-18T00:00:00"/>
    <s v="Baja"/>
    <s v="Alta "/>
    <s v="Reemplazo"/>
    <m/>
    <s v="Camila Smidt"/>
    <s v="Renuncia "/>
    <s v="Inderminado "/>
    <m/>
    <m/>
    <s v="TM - 6 a 14 hs"/>
    <s v="SANATORIO"/>
    <m/>
    <m/>
    <m/>
    <m/>
    <m/>
    <m/>
    <m/>
    <m/>
    <m/>
    <s v="CM TM"/>
  </r>
  <r>
    <s v="00215"/>
    <d v="2026-03-12T00:00:00"/>
    <s v="Cerrada"/>
    <x v="2"/>
    <s v="Aprobada"/>
    <m/>
    <m/>
    <m/>
    <m/>
    <s v="SANATORIO COLEGIALES"/>
    <s v="CIRENDSA"/>
    <s v="Enfermeria"/>
    <s v="INTERNACION"/>
    <s v="Asistencial/Enfermería"/>
    <s v="Enfermero/a de Internación"/>
    <s v="Noelia Alvez"/>
    <m/>
    <x v="0"/>
    <x v="0"/>
    <m/>
    <s v="Baja"/>
    <s v="Alta "/>
    <s v="Reemplazo"/>
    <m/>
    <s v="Vitte Lorena"/>
    <s v="Licencia "/>
    <s v="Eventual "/>
    <m/>
    <m/>
    <s v="TM - 6 a 14 hs"/>
    <s v="SANATORIO"/>
    <d v="2026-04-01T00:00:00"/>
    <d v="2026-04-08T00:00:00"/>
    <m/>
    <m/>
    <s v="ROMINA SUAREZ"/>
    <s v="Eventual por licencia"/>
    <s v="122/75"/>
    <s v="No"/>
    <s v="No"/>
    <s v="CM TM - Licencia x maternidad"/>
  </r>
  <r>
    <s v="00216"/>
    <d v="2026-03-12T00:00:00"/>
    <s v="Cerrada"/>
    <x v="0"/>
    <s v="Aprobada"/>
    <m/>
    <m/>
    <m/>
    <m/>
    <s v="CORPO"/>
    <s v="Healthnes"/>
    <s v="Contact Center"/>
    <s v="Operaciones"/>
    <s v="Administrativo/a"/>
    <s v="Operador call center"/>
    <s v="Zukoski"/>
    <m/>
    <x v="0"/>
    <x v="0"/>
    <d v="2026-04-21T00:00:00"/>
    <s v="Baja"/>
    <s v="Alta "/>
    <s v="Reemplazo"/>
    <m/>
    <s v="ALVAREZ GRASSI, NICOLE CARLA (Beatrice Perdomo)"/>
    <s v="Licencia "/>
    <s v="Eventual "/>
    <m/>
    <m/>
    <s v="full time, de Lunes, Martes y Miércoles de 8 a 18 y Jueves y Viernes de 9 a 18."/>
    <s v="CONTACT CENTER"/>
    <d v="2026-04-07T00:00:00"/>
    <m/>
    <m/>
    <m/>
    <s v="Sofía González Larreal"/>
    <s v=" $1.264.501,58 bruto /_x0009_ $1.032.990,00 neto"/>
    <s v="130/75"/>
    <s v="No"/>
    <s v="No"/>
    <m/>
  </r>
  <r>
    <s v="00217"/>
    <d v="2026-03-12T00:00:00"/>
    <n v="47"/>
    <x v="2"/>
    <s v="Aprobada"/>
    <m/>
    <m/>
    <m/>
    <m/>
    <s v="SANATORIO COLEGIALES"/>
    <s v="CIRENDSA"/>
    <s v="Hotelería"/>
    <s v="Internación"/>
    <s v="Servicios Generales"/>
    <s v="MUCAMO/A"/>
    <s v="Valeria Dodero"/>
    <m/>
    <x v="3"/>
    <x v="6"/>
    <d v="2026-05-04T00:00:00"/>
    <s v="Baja"/>
    <s v="Media"/>
    <s v="Reemplazo"/>
    <m/>
    <s v="Maria Belen Rios"/>
    <s v="Desvinculación empresa"/>
    <s v="Eventual "/>
    <m/>
    <m/>
    <s v="14 A 22 HS. Eventual por licencia prolongada de 159156 ANDREA MAREQUE"/>
    <s v="SANATORIO"/>
    <d v="2026-04-20T00:00:00"/>
    <d v="2026-05-04T00:00:00"/>
    <s v="Externa"/>
    <m/>
    <s v="Lorena Garcia"/>
    <s v=" $1.123.895,63 bruto /_x0009_ $946.630,00 neto"/>
    <s v="122/75"/>
    <s v="No"/>
    <s v="No"/>
    <s v="14 A 22 HS. Eventual por licencia prolongada de 159156 ANDREA MAREQUE"/>
  </r>
  <r>
    <s v="00218"/>
    <d v="2026-03-12T00:00:00"/>
    <s v="Cerrada"/>
    <x v="0"/>
    <s v="Aprobada"/>
    <m/>
    <m/>
    <m/>
    <m/>
    <s v="CORPO"/>
    <s v="Healtnes"/>
    <s v="Contact Center"/>
    <s v="Operaciones"/>
    <s v="Administrativo/a"/>
    <s v="Operador call center"/>
    <s v="Zukoski"/>
    <m/>
    <x v="0"/>
    <x v="0"/>
    <d v="2026-04-21T00:00:00"/>
    <s v="Baja"/>
    <s v="Alta "/>
    <s v="Reemplazo"/>
    <m/>
    <s v="Nancy Arias"/>
    <s v="Licencia "/>
    <s v="Eventual "/>
    <m/>
    <m/>
    <s v="Lunes a Viernes 9 a 18 hs por Licencia Prol 340 Nancy Arias"/>
    <s v="CONTACT CENTER"/>
    <d v="2026-04-07T00:00:00"/>
    <m/>
    <m/>
    <m/>
    <s v="Luna Celeste Lentini"/>
    <s v=" $1.264.501,58 bruto /_x0009_ $1.032.990,00 neto"/>
    <s v="130/75"/>
    <s v="No"/>
    <s v="No"/>
    <s v="Le dio mal el preoc a Martina Cruz, se retoma la busqueda"/>
  </r>
  <r>
    <s v="00219"/>
    <d v="2026-03-12T00:00:00"/>
    <s v="Cerrada"/>
    <x v="0"/>
    <s v="Aprobada"/>
    <m/>
    <m/>
    <m/>
    <m/>
    <s v="CORPO"/>
    <s v="Healthnes SA"/>
    <s v="CONTACT CENTER"/>
    <s v="Operaciones"/>
    <s v="Administrativo/a"/>
    <s v="Operador call center"/>
    <s v="Zukoski"/>
    <m/>
    <x v="0"/>
    <x v="0"/>
    <m/>
    <s v="Baja"/>
    <s v="Alta "/>
    <s v="Reemplazo"/>
    <m/>
    <s v="MARCOS ORTIZ OSCAR"/>
    <s v="Desvinculación empresa"/>
    <s v="Inderminado "/>
    <m/>
    <m/>
    <s v=" lunes a jueves de 11:00 a 20:00 viernes de 12:00 a 20:00 y sábados de 8:00 a 12:00"/>
    <s v="CONTACT CENTER"/>
    <d v="2026-03-11T00:00:00"/>
    <d v="2026-04-08T00:00:00"/>
    <s v="Externa"/>
    <m/>
    <s v="Francisco Olivera"/>
    <s v=" $1.264.501,58 bruto /_x0009_ $1.032.990,00 neto"/>
    <s v="130/75"/>
    <s v="No"/>
    <s v="No"/>
    <m/>
  </r>
  <r>
    <s v="00220"/>
    <d v="2026-03-12T00:00:00"/>
    <s v="Cerrada"/>
    <x v="0"/>
    <s v="Aprobada"/>
    <m/>
    <m/>
    <m/>
    <m/>
    <s v="CORPO"/>
    <s v="Healthnes SA"/>
    <s v="CONTACT CENTER"/>
    <s v="Operaciones"/>
    <s v="Administrativo/a"/>
    <s v="Operador call center"/>
    <s v="Zukoski"/>
    <m/>
    <x v="0"/>
    <x v="0"/>
    <m/>
    <s v="Baja"/>
    <s v="Alta "/>
    <s v="Reemplazo"/>
    <m/>
    <s v="Juana D'andrea"/>
    <s v="Desvinculación empresa"/>
    <s v="Inderminado "/>
    <m/>
    <m/>
    <s v="Lunes a Viernes 12 a 17 hs, Sábados 9 a 14 hs (25 hs)"/>
    <s v="CONTACT CENTER"/>
    <d v="2026-03-11T00:00:00"/>
    <d v="2026-04-08T00:00:00"/>
    <s v="Externa"/>
    <m/>
    <s v="Santiago Rivera"/>
    <s v="&quot; $710.649,96 bruto /_x0009_ $567.231,00 neto&quot;"/>
    <s v="130/75"/>
    <s v="No"/>
    <s v="No"/>
    <m/>
  </r>
  <r>
    <s v="00221"/>
    <d v="2026-03-12T00:00:00"/>
    <s v="Cerrada"/>
    <x v="0"/>
    <s v="Aprobada"/>
    <m/>
    <m/>
    <m/>
    <m/>
    <s v="CORPO"/>
    <s v="Healthnes SA"/>
    <s v="CONTACT CENTER"/>
    <s v="Operaciones"/>
    <s v="Administrativo/a"/>
    <s v="Operador call center"/>
    <s v="Zukoski"/>
    <m/>
    <x v="0"/>
    <x v="0"/>
    <m/>
    <s v="Baja"/>
    <s v="Alta "/>
    <s v="Reemplazo"/>
    <n v="154571"/>
    <s v="Fiorella Larregina"/>
    <s v="Renuncia "/>
    <s v="Inderminado "/>
    <m/>
    <m/>
    <s v="Lunes a Sábados 9 a 14 hs (25 hs)"/>
    <s v="CONTACT CENTER"/>
    <d v="2026-03-11T00:00:00"/>
    <d v="2026-03-23T00:00:00"/>
    <m/>
    <m/>
    <s v="Sonia Escasena"/>
    <s v="&quot; $710.649,96 bruto /_x0009_ $567.231,00 neto&quot;"/>
    <s v="130/75"/>
    <s v="No"/>
    <s v="No"/>
    <m/>
  </r>
  <r>
    <s v="00222"/>
    <d v="2026-03-17T00:00:00"/>
    <s v="Cerrada"/>
    <x v="2"/>
    <s v="Aprobada"/>
    <m/>
    <s v="No"/>
    <s v="Si"/>
    <m/>
    <s v="SANATORIO COLEGIALES"/>
    <m/>
    <s v="ADMISION"/>
    <s v="Consultorios Externos"/>
    <s v="Administrativo/a"/>
    <s v="Administrativo/a de Consultoríos Externos"/>
    <s v="Gomez"/>
    <m/>
    <x v="0"/>
    <x v="0"/>
    <m/>
    <m/>
    <m/>
    <s v="Reemplazo"/>
    <m/>
    <s v="GOITIA PEREZ, DARIANA NAZARET"/>
    <s v="Desvinculación empresa"/>
    <s v="Inderminado "/>
    <m/>
    <m/>
    <s v="Lu a Vie 14 a 20 hs - Sabado x medio 07 a 13 hs "/>
    <s v="SANATORIO"/>
    <m/>
    <d v="2026-03-23T00:00:00"/>
    <m/>
    <m/>
    <s v="CAREN AZAME"/>
    <s v=" $842.805,08 bruto /_x0009_ $697.077,50 neto"/>
    <m/>
    <m/>
    <m/>
    <m/>
  </r>
  <r>
    <s v="00223"/>
    <d v="2026-03-17T00:00:00"/>
    <s v="Cerrada"/>
    <x v="2"/>
    <s v="Aprobada"/>
    <m/>
    <s v="No"/>
    <s v="Si"/>
    <m/>
    <s v="SANATORIO COLEGIALES"/>
    <m/>
    <s v="Enfermeria"/>
    <s v="Internación"/>
    <s v="Asistencial/Enfermería"/>
    <s v="Enfermero/a de Internación"/>
    <s v="Noelia Alvez"/>
    <m/>
    <x v="1"/>
    <x v="1"/>
    <m/>
    <m/>
    <m/>
    <s v="Reemplazo"/>
    <m/>
    <s v="MORANT ARTEAGA JUAN CARLOS"/>
    <s v="Desvinculación empresa"/>
    <s v="Inderminado "/>
    <m/>
    <m/>
    <s v="TN - 22 a 06"/>
    <s v="SANATORIO"/>
    <m/>
    <m/>
    <m/>
    <m/>
    <m/>
    <m/>
    <m/>
    <m/>
    <m/>
    <m/>
  </r>
  <r>
    <s v="00224"/>
    <d v="2026-03-17T00:00:00"/>
    <s v="Cerrada"/>
    <x v="2"/>
    <s v="Aprobada"/>
    <m/>
    <s v="No"/>
    <s v="Si"/>
    <m/>
    <s v="SANATORIO COLEGIALES"/>
    <m/>
    <s v="Enfermeria"/>
    <s v="Internación"/>
    <s v="Asistencial/Enfermería"/>
    <s v="Enfermero/a de Internación"/>
    <s v="Noelia Alvez"/>
    <m/>
    <x v="1"/>
    <x v="1"/>
    <m/>
    <m/>
    <m/>
    <s v="Reemplazo"/>
    <m/>
    <s v="HERRERA ERIKA YANINA "/>
    <s v="Desvinculación empresa"/>
    <s v="Inderminado "/>
    <m/>
    <m/>
    <s v="TM - 6 a 14 hs"/>
    <s v="SANATORIO"/>
    <m/>
    <m/>
    <m/>
    <m/>
    <m/>
    <m/>
    <m/>
    <m/>
    <m/>
    <m/>
  </r>
  <r>
    <s v="00225"/>
    <d v="2026-03-17T00:00:00"/>
    <s v="Cerrada"/>
    <x v="2"/>
    <s v="Aprobada"/>
    <m/>
    <s v="No"/>
    <s v="Si"/>
    <m/>
    <s v="SANATORIO COLEGIALES"/>
    <m/>
    <s v="HOTELERIA"/>
    <s v="INTERNACION"/>
    <s v="Servicios Generales"/>
    <s v="PEON"/>
    <s v="Valeria Dodero"/>
    <m/>
    <x v="0"/>
    <x v="0"/>
    <d v="2026-04-20T00:00:00"/>
    <s v="Baja"/>
    <s v="Baja "/>
    <s v="Reemplazo"/>
    <n v="166950"/>
    <s v="MELILLAN AITOR ALEXIS"/>
    <s v="Desvinculación empresa"/>
    <s v="Indeterminado "/>
    <m/>
    <m/>
    <s v="22 a 6 hs"/>
    <s v="SANATORIO"/>
    <d v="2026-04-20T00:00:00"/>
    <d v="2026-04-20T00:00:00"/>
    <m/>
    <m/>
    <s v="Lihuel Rodriguez"/>
    <s v="Eventual. Se efectiviza el puesto"/>
    <s v="122/75"/>
    <m/>
    <m/>
    <m/>
  </r>
  <r>
    <s v="00226"/>
    <d v="2026-03-17T00:00:00"/>
    <s v="Cerrada"/>
    <x v="2"/>
    <s v="Aprobada"/>
    <m/>
    <s v="No"/>
    <s v="Si"/>
    <m/>
    <s v="SANATORIO COLEGIALES"/>
    <m/>
    <s v="HOTELERIA"/>
    <s v="INTERNACION"/>
    <s v="Servicios Generales"/>
    <s v="MUCAMO/A"/>
    <s v="Valeria Dodero"/>
    <m/>
    <x v="1"/>
    <x v="1"/>
    <m/>
    <m/>
    <m/>
    <s v="Reemplazo"/>
    <m/>
    <s v="GALEANO HERRERO LIZ PAOLA"/>
    <s v="Desvinculación empresa"/>
    <m/>
    <m/>
    <m/>
    <m/>
    <s v="SANATORIO"/>
    <m/>
    <m/>
    <m/>
    <m/>
    <m/>
    <m/>
    <m/>
    <m/>
    <m/>
    <m/>
  </r>
  <r>
    <s v="00227"/>
    <d v="2026-03-17T00:00:00"/>
    <n v="42"/>
    <x v="1"/>
    <s v="Aprobada"/>
    <m/>
    <s v="No"/>
    <s v="No"/>
    <m/>
    <s v="CORPO"/>
    <m/>
    <s v="LEGALES"/>
    <s v="ADMINISTRACION Y FINANZAS"/>
    <s v="Especialista"/>
    <s v="Abogado/a comercial societario"/>
    <s v="Eduardo Zalis "/>
    <m/>
    <x v="2"/>
    <x v="3"/>
    <d v="2026-05-18T00:00:00"/>
    <s v="Media "/>
    <s v="Alta "/>
    <s v="Reemplazo"/>
    <m/>
    <s v="Maria Soledad Tognozzi"/>
    <s v="Renuncia "/>
    <s v="Inderminado "/>
    <m/>
    <m/>
    <m/>
    <s v="La Musa - Piso 9"/>
    <m/>
    <m/>
    <m/>
    <m/>
    <m/>
    <m/>
    <m/>
    <m/>
    <m/>
    <m/>
  </r>
  <r>
    <s v="00228"/>
    <d v="2026-03-17T00:00:00"/>
    <s v="Cerrada"/>
    <x v="2"/>
    <s v="Aprobada"/>
    <m/>
    <m/>
    <m/>
    <m/>
    <s v="SANATORIO COLEGIALES"/>
    <m/>
    <s v="TERAPISTAS INTENSIVOS"/>
    <s v="Terapia Intensiva"/>
    <s v="Asistencial/Médicos"/>
    <s v="MEDICO/A"/>
    <s v="Salcedo"/>
    <m/>
    <x v="0"/>
    <x v="0"/>
    <m/>
    <m/>
    <s v="Alta "/>
    <s v="Reemplazo"/>
    <m/>
    <s v="RODRIGUEZ CASSO, RODOLFO HERNAN"/>
    <s v="Desvinculación empresa"/>
    <s v="Inderminado "/>
    <m/>
    <m/>
    <s v="Miércoles 8 a 20 hs + Viernes 20 a 8 hs"/>
    <s v="SANATORIO"/>
    <d v="2026-04-07T00:00:00"/>
    <m/>
    <m/>
    <m/>
    <s v="Evelyn Gladys Ergueta"/>
    <s v=" $ 2.555.900 bruto / $ 2.082.000 neto"/>
    <s v="AMAP"/>
    <s v="No"/>
    <s v="No"/>
    <m/>
  </r>
  <r>
    <s v="00229"/>
    <d v="2026-03-17T00:00:00"/>
    <s v="Cerrada"/>
    <x v="2"/>
    <s v="Aprobada"/>
    <m/>
    <m/>
    <m/>
    <m/>
    <s v="SANATORIO COLEGIALES"/>
    <m/>
    <s v="TERAPISTAS INTENSIVOS"/>
    <s v="Terapia Intensiva"/>
    <s v="Asistencial/Médicos"/>
    <s v="MEDICO/A"/>
    <s v="Salcedo"/>
    <m/>
    <x v="0"/>
    <x v="0"/>
    <m/>
    <m/>
    <s v="Alta "/>
    <s v="Reemplazo"/>
    <m/>
    <s v="WALL, DEBORAH"/>
    <s v="Desvinculación empresa"/>
    <s v="Inderminado "/>
    <m/>
    <m/>
    <s v="Miércoles 8 a 20 hs + Viernes 20 a 8 hs"/>
    <s v="SANATORIO"/>
    <d v="2026-04-07T00:00:00"/>
    <m/>
    <m/>
    <m/>
    <s v="Evelyn Gladys Ergueta"/>
    <s v=" $ 2.555.900 bruto / $ 2.082.000 neto"/>
    <s v="AMAP"/>
    <s v="No"/>
    <s v="No"/>
    <m/>
  </r>
  <r>
    <s v="00230"/>
    <d v="2026-03-17T00:00:00"/>
    <n v="42"/>
    <x v="1"/>
    <s v="Aprobada"/>
    <m/>
    <s v="Si"/>
    <m/>
    <m/>
    <s v="CORPO"/>
    <m/>
    <s v="CONVENIOS Y CONTRATACIONES"/>
    <s v="ADMINISTRACION Y FINANZAS"/>
    <s v="Analista"/>
    <s v="Analista de Contrataciones"/>
    <s v="LEONETTI, LAURA LORENA"/>
    <m/>
    <x v="2"/>
    <x v="3"/>
    <d v="2026-06-01T00:00:00"/>
    <s v="Alta "/>
    <s v="Alta "/>
    <s v="Reemplazo"/>
    <m/>
    <s v="Gladys"/>
    <m/>
    <s v="Inderminado "/>
    <m/>
    <m/>
    <m/>
    <m/>
    <m/>
    <m/>
    <m/>
    <m/>
    <m/>
    <m/>
    <m/>
    <m/>
    <m/>
    <m/>
  </r>
  <r>
    <s v="00231"/>
    <d v="2026-03-17T00:00:00"/>
    <n v="42"/>
    <x v="1"/>
    <s v="Aprobada"/>
    <m/>
    <s v="No"/>
    <m/>
    <m/>
    <s v="CORPO"/>
    <m/>
    <s v="CONVENIOS Y CONTRATACIONES"/>
    <s v="ADMINISTRACION Y FINANZAS"/>
    <s v="Analista"/>
    <s v="Analista de Contrataciones"/>
    <s v="LEONETTI, LAURA LORENA"/>
    <m/>
    <x v="2"/>
    <x v="3"/>
    <d v="2026-06-01T00:00:00"/>
    <s v="Alta "/>
    <s v="Alta "/>
    <s v="Apertura de puesto"/>
    <m/>
    <m/>
    <m/>
    <s v="Inderminado "/>
    <m/>
    <m/>
    <m/>
    <m/>
    <m/>
    <m/>
    <m/>
    <m/>
    <m/>
    <m/>
    <m/>
    <m/>
    <m/>
    <m/>
  </r>
  <r>
    <s v="00232"/>
    <d v="2026-03-17T00:00:00"/>
    <s v="Cerrada"/>
    <x v="0"/>
    <s v="Aprobada"/>
    <m/>
    <m/>
    <m/>
    <m/>
    <s v="SANATORIO COLEGIALES"/>
    <m/>
    <s v="ADMISION"/>
    <s v="Consultorios Externos"/>
    <s v="Administrativo/a"/>
    <s v="Administrativo/a de Consultoríos Externos"/>
    <s v="Gomez"/>
    <m/>
    <x v="0"/>
    <x v="0"/>
    <m/>
    <m/>
    <m/>
    <s v="Reemplazo"/>
    <m/>
    <s v="astrada silvina"/>
    <s v="Desvinculación empresa"/>
    <s v="Inderminado "/>
    <m/>
    <m/>
    <s v="Lu a Vie 14 a 20 hs - Sabado x medio 07 a 13 hs"/>
    <s v="SANATORIO"/>
    <m/>
    <d v="2026-03-23T00:00:00"/>
    <m/>
    <m/>
    <s v="BARBARA CRETA"/>
    <s v=" $842.805,08 bruto /_x0009_ $697.077,50 neto"/>
    <m/>
    <m/>
    <m/>
    <m/>
  </r>
  <r>
    <s v="00233"/>
    <d v="2026-03-17T00:00:00"/>
    <s v="Cerrada"/>
    <x v="0"/>
    <s v="Cancelada"/>
    <m/>
    <m/>
    <m/>
    <m/>
    <s v="SANATORIO COLEGIALES"/>
    <m/>
    <s v="ADMISION"/>
    <s v="Consultorios Externos"/>
    <s v="Administrativo/a"/>
    <s v="Administrativo/a de Consultoríos Externos"/>
    <s v="Gomez"/>
    <m/>
    <x v="4"/>
    <x v="5"/>
    <m/>
    <m/>
    <m/>
    <s v="Reemplazo"/>
    <m/>
    <s v="Erika Acuña renuncia viernes 27/3"/>
    <s v="Renuncia "/>
    <m/>
    <m/>
    <m/>
    <m/>
    <m/>
    <m/>
    <m/>
    <m/>
    <m/>
    <m/>
    <m/>
    <m/>
    <m/>
    <m/>
    <s v="No renuncio"/>
  </r>
  <r>
    <s v="00234"/>
    <d v="2026-03-17T00:00:00"/>
    <s v="Cerrada"/>
    <x v="0"/>
    <s v="Aprobada"/>
    <m/>
    <m/>
    <m/>
    <m/>
    <s v="SANATORIO COLEGIALES"/>
    <m/>
    <s v="ADMISION"/>
    <s v="Consultorios Externos"/>
    <s v="Administrativo/a"/>
    <s v="Administrativo/a de Consultoríos Externos"/>
    <s v="Gomez"/>
    <m/>
    <x v="0"/>
    <x v="0"/>
    <m/>
    <m/>
    <m/>
    <s v="Reemplazo"/>
    <m/>
    <s v="Roncoroni Romina"/>
    <m/>
    <s v="Inderminado "/>
    <m/>
    <m/>
    <s v="Lun a Vie 6 a 14 hs + Sábados 7 a 13 hs"/>
    <s v="SANATORIO"/>
    <m/>
    <d v="2026-03-23T00:00:00"/>
    <m/>
    <m/>
    <s v="IARA ACUÑA"/>
    <s v="$1.164.203,77 bruto /$976.802,50 neto"/>
    <s v="122/75"/>
    <s v="No"/>
    <s v="No"/>
    <m/>
  </r>
  <r>
    <s v="00235"/>
    <d v="2026-03-17T00:00:00"/>
    <s v="Cerrada"/>
    <x v="0"/>
    <s v="Aprobada"/>
    <m/>
    <m/>
    <m/>
    <m/>
    <s v="SANATORIO COLEGIALES"/>
    <m/>
    <s v="ADMISION"/>
    <s v="Consultorios Externos"/>
    <s v="Administrativo/a"/>
    <s v="Administrativo/a de Consultoríos Externos"/>
    <s v="Gomez"/>
    <m/>
    <x v="0"/>
    <x v="0"/>
    <m/>
    <m/>
    <m/>
    <s v="Reemplazo"/>
    <m/>
    <s v="Colombo Lucas"/>
    <m/>
    <m/>
    <m/>
    <m/>
    <m/>
    <m/>
    <m/>
    <d v="2026-03-23T00:00:00"/>
    <m/>
    <m/>
    <s v="Barbara Creta"/>
    <m/>
    <m/>
    <m/>
    <m/>
    <m/>
  </r>
  <r>
    <s v="00236"/>
    <d v="2026-03-17T00:00:00"/>
    <s v="Cerrada"/>
    <x v="0"/>
    <s v="Aprobada"/>
    <m/>
    <m/>
    <m/>
    <m/>
    <s v="SANATORIO COLEGIALES"/>
    <m/>
    <s v="ADMISION"/>
    <s v="Consultorios Externos"/>
    <s v="Administrativo/a"/>
    <s v="Administrativo/a de Consultoríos Externos"/>
    <s v="Gomez"/>
    <m/>
    <x v="0"/>
    <x v="0"/>
    <m/>
    <m/>
    <m/>
    <s v="Reemplazo"/>
    <m/>
    <s v="Benitez Carolina"/>
    <m/>
    <m/>
    <m/>
    <m/>
    <m/>
    <m/>
    <m/>
    <d v="2026-03-23T00:00:00"/>
    <m/>
    <m/>
    <s v="Agueros Capri Stefani"/>
    <m/>
    <m/>
    <m/>
    <m/>
    <m/>
  </r>
  <r>
    <s v="00237"/>
    <d v="2026-03-17T00:00:00"/>
    <s v="Cerrada"/>
    <x v="0"/>
    <s v="Cancelada"/>
    <m/>
    <m/>
    <m/>
    <m/>
    <s v="SANATORIO COLEGIALES"/>
    <m/>
    <s v="ADMISION"/>
    <s v="Consultorios Externos"/>
    <s v="Administrativo/a"/>
    <s v="Administrativo/a de Consultoríos Externos"/>
    <s v="Gomez"/>
    <m/>
    <x v="1"/>
    <x v="1"/>
    <m/>
    <m/>
    <m/>
    <s v="Reemplazo"/>
    <m/>
    <s v="Morrone Nicolas"/>
    <m/>
    <m/>
    <m/>
    <m/>
    <m/>
    <m/>
    <m/>
    <d v="2026-03-23T00:00:00"/>
    <m/>
    <m/>
    <s v="Acuña Iara"/>
    <m/>
    <m/>
    <m/>
    <m/>
    <s v="Se cancela vacante , error de apertura. Vacante cubierta por Yamila Pacheco"/>
  </r>
  <r>
    <s v="00238"/>
    <d v="2026-03-17T00:00:00"/>
    <s v="Cerrada"/>
    <x v="0"/>
    <s v="Aprobada"/>
    <m/>
    <m/>
    <s v="Si"/>
    <s v="22/07/2026 ( fin de pp)"/>
    <s v="SANATORIO COLEGIALES"/>
    <m/>
    <s v="ADMISION"/>
    <s v="Consultorios Externos"/>
    <s v="Administrativo/a"/>
    <s v="Administrativo/a de Consultoríos Externos"/>
    <s v="Gomez"/>
    <m/>
    <x v="4"/>
    <x v="5"/>
    <m/>
    <m/>
    <m/>
    <s v="Reemplazo"/>
    <m/>
    <s v="Posible Baja: Lucila Cortez"/>
    <s v="Desvinculación empresa"/>
    <m/>
    <m/>
    <m/>
    <m/>
    <m/>
    <m/>
    <m/>
    <m/>
    <m/>
    <m/>
    <m/>
    <m/>
    <m/>
    <m/>
    <m/>
  </r>
  <r>
    <s v="00239"/>
    <d v="2026-03-20T00:00:00"/>
    <n v="39"/>
    <x v="2"/>
    <s v="Aprobada"/>
    <m/>
    <m/>
    <m/>
    <m/>
    <s v="SANATORIO COLEGIALES"/>
    <s v="CIRENDSA"/>
    <s v="Enfermeria"/>
    <s v="Terapia Intensiva"/>
    <s v="Asistencial/Enfermería"/>
    <s v="Enfermero/a de Terapia Intensiva"/>
    <s v="Noelia Alvez"/>
    <m/>
    <x v="2"/>
    <x v="7"/>
    <d v="2026-05-18T00:00:00"/>
    <s v="Baja"/>
    <s v="Alta "/>
    <s v="Reemplazo"/>
    <m/>
    <s v="Leiva Matias"/>
    <s v="Desvinculación empresa"/>
    <s v="Indeterminado "/>
    <m/>
    <m/>
    <s v="6 a 14 hs"/>
    <s v="SANATORIO"/>
    <m/>
    <m/>
    <m/>
    <m/>
    <m/>
    <m/>
    <m/>
    <m/>
    <m/>
    <m/>
  </r>
  <r>
    <s v="00240"/>
    <d v="2026-03-23T00:00:00"/>
    <s v="Cerrada"/>
    <x v="2"/>
    <s v="Aprobada"/>
    <m/>
    <m/>
    <m/>
    <m/>
    <s v="SANATORIO COLEGIALES"/>
    <m/>
    <s v="Enfermeria"/>
    <s v="INTERNACION"/>
    <s v="Asistencial/Enfermería"/>
    <s v="Enfermero/a de Internación"/>
    <s v="Noelia Alvez"/>
    <m/>
    <x v="0"/>
    <x v="0"/>
    <m/>
    <m/>
    <m/>
    <s v="Reemplazo"/>
    <m/>
    <s v="Lorena Vilte"/>
    <s v="Licencia "/>
    <s v="Plazo Fijo"/>
    <m/>
    <m/>
    <s v="6 a 14 hs como eventual por licencia prolongada 156461 Lorena Vilte"/>
    <s v="SANATORIO"/>
    <d v="2026-03-23T00:00:00"/>
    <d v="2026-04-08T00:00:00"/>
    <m/>
    <m/>
    <s v="ROMINA SUAREZ"/>
    <s v=" $1.223.571,44 bruto /_x0009_ $1.024.328,50 neto"/>
    <s v="122/75"/>
    <s v="No"/>
    <s v="No"/>
    <m/>
  </r>
  <r>
    <s v="00241"/>
    <d v="2026-03-25T00:00:00"/>
    <n v="34"/>
    <x v="2"/>
    <s v="Aprobada"/>
    <m/>
    <m/>
    <m/>
    <m/>
    <s v="SANATORIO COLEGIALES"/>
    <m/>
    <s v="Enfermeria"/>
    <s v="INTERNACION"/>
    <s v="Asistencial/Enfermería"/>
    <s v="Enfermero/a de Internación"/>
    <s v="Noelia Alvez"/>
    <m/>
    <x v="3"/>
    <x v="6"/>
    <d v="2026-05-04T00:00:00"/>
    <s v="Baja"/>
    <s v="Alta "/>
    <s v="Reemplazo"/>
    <n v="161467"/>
    <s v="PADILLA CHAMBI, JHOSELIN SOLEDAD"/>
    <s v="Movimiento interno"/>
    <s v="Inderminado "/>
    <m/>
    <m/>
    <s v="TT - 14 a 22 HS"/>
    <s v="SANATORIO"/>
    <d v="2026-04-27T00:00:00"/>
    <d v="2026-05-04T00:00:00"/>
    <m/>
    <m/>
    <s v="NADIA CABANA"/>
    <s v=" $1.303.213,92 bruto /_x0009_ $1.093.671,00 neto"/>
    <s v="122/75"/>
    <s v="No"/>
    <s v="No"/>
    <m/>
  </r>
  <r>
    <s v="00242"/>
    <d v="2026-03-25T00:00:00"/>
    <s v="Cerrada"/>
    <x v="2"/>
    <s v="Aprobada"/>
    <m/>
    <m/>
    <m/>
    <m/>
    <s v="SANATORIO COLEGIALES"/>
    <m/>
    <s v="Clínica Médica"/>
    <s v="Clinica Medica"/>
    <s v="Asistencial/Médicos"/>
    <s v="MEDICO/A"/>
    <s v="Barone"/>
    <m/>
    <x v="0"/>
    <x v="0"/>
    <m/>
    <s v="Media "/>
    <s v="Alta "/>
    <s v="Reemplazo"/>
    <m/>
    <s v="Lima Pedro"/>
    <s v="Renuncia "/>
    <s v="Inderminado "/>
    <m/>
    <m/>
    <s v="Lunes a Viernes 8 a 14 hs"/>
    <s v="SANATORIO"/>
    <d v="2026-04-07T00:00:00"/>
    <m/>
    <m/>
    <m/>
    <s v="Diego Gabela"/>
    <s v=" $2.667.475,65 bruto /_x0009_ $2.173.992,66 neto"/>
    <s v="AMAP"/>
    <s v="No"/>
    <s v="No"/>
    <m/>
  </r>
  <r>
    <s v="00243"/>
    <d v="2026-03-26T00:00:00"/>
    <n v="33"/>
    <x v="2"/>
    <s v="Aprobada"/>
    <m/>
    <m/>
    <m/>
    <m/>
    <s v="CMV"/>
    <m/>
    <s v="OPERACIONES"/>
    <s v="Operaciones"/>
    <s v="Asistencial/Otros"/>
    <s v="Técnico de prácticas Cardiológicas"/>
    <s v="Claudia Alí"/>
    <m/>
    <x v="2"/>
    <x v="2"/>
    <d v="2026-05-18T00:00:00"/>
    <s v="Media "/>
    <s v="Alta "/>
    <s v="Reemplazo"/>
    <m/>
    <s v="Alejandro Aguinaga"/>
    <m/>
    <s v="Inderminado "/>
    <m/>
    <m/>
    <s v="L a S – Jornada laboral de 8 horas con horario rotativo_x000a_y flexible acorde a la programación de agendas"/>
    <s v="CMV"/>
    <m/>
    <m/>
    <m/>
    <m/>
    <m/>
    <m/>
    <m/>
    <m/>
    <m/>
    <m/>
  </r>
  <r>
    <s v="00244"/>
    <d v="2026-03-26T00:00:00"/>
    <n v="33"/>
    <x v="1"/>
    <s v="Aprobada"/>
    <m/>
    <s v="No"/>
    <m/>
    <m/>
    <s v="CMV"/>
    <m/>
    <s v="OPERACIONES"/>
    <s v="Operaciones"/>
    <s v="Liderazgo"/>
    <s v="Referente de Instrumentación"/>
    <s v="Federico Carrasquera"/>
    <m/>
    <x v="2"/>
    <x v="2"/>
    <d v="2026-06-01T00:00:00"/>
    <s v="Alta "/>
    <s v="Media"/>
    <s v="Apertura de puesto"/>
    <m/>
    <m/>
    <m/>
    <s v="Inderminado "/>
    <m/>
    <m/>
    <s v="Jornada flexible acorde a la actividad"/>
    <s v="CMV"/>
    <m/>
    <m/>
    <m/>
    <m/>
    <m/>
    <m/>
    <m/>
    <s v="Si"/>
    <m/>
    <m/>
  </r>
  <r>
    <s v="00245"/>
    <d v="2026-03-27T00:00:00"/>
    <s v="Cerrada"/>
    <x v="2"/>
    <s v="Aprobada"/>
    <m/>
    <m/>
    <m/>
    <m/>
    <s v="SANATORIO COLEGIALES"/>
    <m/>
    <s v="Enfermeria"/>
    <s v="INTERNACION"/>
    <s v="Asistencial/Enfermería"/>
    <s v="Enfermero/a de Internación"/>
    <s v="Noelia Alvez"/>
    <m/>
    <x v="1"/>
    <x v="7"/>
    <m/>
    <s v="Baja"/>
    <s v="Alta "/>
    <s v="Reemplazo"/>
    <m/>
    <m/>
    <m/>
    <s v="Inderminado "/>
    <m/>
    <m/>
    <s v="TT - 14 a 22 HS"/>
    <s v="SANATORIO"/>
    <m/>
    <m/>
    <m/>
    <m/>
    <m/>
    <m/>
    <m/>
    <m/>
    <m/>
    <m/>
  </r>
  <r>
    <s v="00246"/>
    <d v="2026-03-27T00:00:00"/>
    <s v="Cerrada"/>
    <x v="2"/>
    <s v="Aprobada"/>
    <m/>
    <m/>
    <m/>
    <m/>
    <s v="SANATORIO COLEGIALES"/>
    <m/>
    <s v="Enfermeria"/>
    <s v="INTERNACION"/>
    <s v="Asistencial/Enfermería"/>
    <s v="Enfermero/a de Internación"/>
    <s v="Noelia Alvez"/>
    <m/>
    <x v="1"/>
    <x v="7"/>
    <m/>
    <s v="Baja"/>
    <s v="Alta "/>
    <m/>
    <m/>
    <s v="Sobre cápita"/>
    <s v="Sobre cápita"/>
    <s v="Inderminado "/>
    <m/>
    <m/>
    <s v="TT - 14 a 22 HS"/>
    <s v="SANATORIO"/>
    <m/>
    <m/>
    <m/>
    <m/>
    <m/>
    <m/>
    <m/>
    <m/>
    <m/>
    <m/>
  </r>
  <r>
    <s v="00247"/>
    <d v="2026-03-27T00:00:00"/>
    <s v="Cerrada"/>
    <x v="2"/>
    <s v="Aprobada"/>
    <m/>
    <m/>
    <m/>
    <m/>
    <s v="SANATORIO COLEGIALES"/>
    <m/>
    <s v="Enfermeria"/>
    <s v="INTERNACION"/>
    <s v="Asistencial/Enfermería"/>
    <s v="Enfermero/a de Internación"/>
    <s v="Noelia Alvez"/>
    <m/>
    <x v="1"/>
    <x v="7"/>
    <m/>
    <s v="Baja"/>
    <s v="Alta "/>
    <s v="Apertura de puesto"/>
    <m/>
    <s v="Sobre cápita"/>
    <s v="Sobre cápita"/>
    <s v="Inderminado "/>
    <m/>
    <m/>
    <s v="TT - 14 a 22 HS"/>
    <s v="SANATORIO"/>
    <m/>
    <m/>
    <m/>
    <m/>
    <m/>
    <m/>
    <m/>
    <m/>
    <m/>
    <m/>
  </r>
  <r>
    <s v="00248"/>
    <d v="2026-03-27T00:00:00"/>
    <s v="Cerrada"/>
    <x v="2"/>
    <s v="Aprobada"/>
    <m/>
    <m/>
    <m/>
    <m/>
    <s v="SANATORIO COLEGIALES"/>
    <m/>
    <s v="Enfermeria"/>
    <s v="INTERNACION"/>
    <s v="Asistencial/Enfermería"/>
    <s v="Enfermero/a de Internación"/>
    <s v="Noelia Alvez"/>
    <m/>
    <x v="1"/>
    <x v="7"/>
    <m/>
    <s v="Baja"/>
    <s v="Alta "/>
    <s v="Apertura de puesto"/>
    <m/>
    <s v="Sobre cápita"/>
    <s v="Sobre cápita"/>
    <s v="Inderminado "/>
    <m/>
    <m/>
    <s v="TT - 14 a 22 HS"/>
    <s v="SANATORIO"/>
    <m/>
    <m/>
    <m/>
    <m/>
    <m/>
    <m/>
    <m/>
    <m/>
    <m/>
    <m/>
  </r>
  <r>
    <s v="00249"/>
    <d v="2026-03-27T00:00:00"/>
    <s v="Cerrada"/>
    <x v="2"/>
    <s v="Aprobada"/>
    <m/>
    <m/>
    <m/>
    <m/>
    <s v="SANATORIO COLEGIALES"/>
    <m/>
    <s v="Enfermeria"/>
    <s v="INTERNACION"/>
    <s v="Asistencial/Enfermería"/>
    <s v="Enfermero/a de Internación"/>
    <s v="Noelia Alvez"/>
    <m/>
    <x v="0"/>
    <x v="0"/>
    <m/>
    <s v="Baja"/>
    <s v="Alta "/>
    <s v="Apertura de puesto"/>
    <m/>
    <s v="Sobre cápita"/>
    <s v="Sobre cápita"/>
    <s v="Indeterminado "/>
    <m/>
    <m/>
    <s v="TN - 22 a 6 HS"/>
    <s v="SANATORIO"/>
    <d v="2026-04-20T00:00:00"/>
    <d v="2026-04-20T00:00:00"/>
    <m/>
    <m/>
    <s v="Nancy Prieto "/>
    <s v="Eventual. Se efectiviza el puesto"/>
    <m/>
    <m/>
    <m/>
    <m/>
  </r>
  <r>
    <s v="00250"/>
    <d v="2026-03-27T00:00:00"/>
    <s v="Cerrada"/>
    <x v="2"/>
    <s v="Aprobada"/>
    <m/>
    <m/>
    <m/>
    <m/>
    <s v="SANATORIO COLEGIALES"/>
    <m/>
    <s v="Enfermeria"/>
    <s v="INTERNACION"/>
    <s v="Asistencial/Enfermería"/>
    <s v="Enfermero/a de Internación"/>
    <s v="Noelia Alvez"/>
    <m/>
    <x v="0"/>
    <x v="0"/>
    <m/>
    <s v="Baja"/>
    <s v="Alta "/>
    <s v="Apertura de puesto"/>
    <m/>
    <s v="Sobre cápita"/>
    <s v="Sobre cápita"/>
    <s v="Indeterminado "/>
    <m/>
    <m/>
    <s v="TN - 22 a 6 HS"/>
    <s v="SANATORIO"/>
    <d v="2026-04-20T00:00:00"/>
    <d v="2026-04-20T00:00:00"/>
    <m/>
    <m/>
    <s v="Audrey Pulido "/>
    <s v="Eventual. Se efectiviza el puesto"/>
    <m/>
    <m/>
    <m/>
    <m/>
  </r>
  <r>
    <s v="00251"/>
    <d v="2026-03-27T00:00:00"/>
    <s v="Cerrada"/>
    <x v="2"/>
    <s v="Aprobada"/>
    <m/>
    <m/>
    <m/>
    <m/>
    <s v="SANATORIO COLEGIALES"/>
    <s v="Desarrollos en Salud SA"/>
    <s v="Enfermeria"/>
    <s v="Área Cerrada"/>
    <s v="Asistencial/Enfermería"/>
    <s v="Enfermero/a de área cerrada (UCO/UTI)"/>
    <s v="Noelia Alvez"/>
    <m/>
    <x v="1"/>
    <x v="10"/>
    <m/>
    <s v="Baja"/>
    <s v="Alta "/>
    <s v="Apertura de puesto"/>
    <m/>
    <s v="Sobre cápita"/>
    <s v="Sobre cápita"/>
    <s v="Inderminado "/>
    <m/>
    <m/>
    <m/>
    <s v="SANATORIO"/>
    <m/>
    <m/>
    <m/>
    <m/>
    <m/>
    <m/>
    <m/>
    <m/>
    <m/>
    <m/>
  </r>
  <r>
    <s v="00252"/>
    <d v="2026-03-27T00:00:00"/>
    <s v="Cerrada"/>
    <x v="2"/>
    <s v="Aprobada"/>
    <m/>
    <m/>
    <m/>
    <m/>
    <s v="SANATORIO COLEGIALES"/>
    <s v="Desarrollos en Salud SA"/>
    <s v="Enfermeria"/>
    <s v="Área Cerrada"/>
    <s v="Asistencial/Enfermería"/>
    <s v="Enfermero/a de área cerrada (UCO/UTI)"/>
    <s v="Noelia Alvez"/>
    <m/>
    <x v="1"/>
    <x v="10"/>
    <m/>
    <s v="Baja"/>
    <s v="Alta "/>
    <s v="Apertura de puesto"/>
    <m/>
    <s v="Sobre cápita"/>
    <s v="Sobre cápita"/>
    <s v="Inderminado "/>
    <m/>
    <m/>
    <m/>
    <s v="SANATORIO"/>
    <m/>
    <m/>
    <m/>
    <m/>
    <m/>
    <m/>
    <m/>
    <m/>
    <m/>
    <m/>
  </r>
  <r>
    <s v="00253"/>
    <d v="2026-03-30T00:00:00"/>
    <n v="29"/>
    <x v="2"/>
    <s v="Aprobada"/>
    <m/>
    <s v="Si"/>
    <s v="Si"/>
    <m/>
    <s v="CMV"/>
    <m/>
    <s v="Enfermeria"/>
    <s v="Operaciones"/>
    <s v="Asistencial/Enfermería"/>
    <s v="ENFERMERO/A"/>
    <s v="Claudia Alí"/>
    <m/>
    <x v="2"/>
    <x v="7"/>
    <d v="2026-06-01T00:00:00"/>
    <s v="Baja"/>
    <s v="Media"/>
    <s v="Reemplazo"/>
    <m/>
    <s v="Adriana Abigail Tinte"/>
    <s v="Desvinculación empresa"/>
    <s v="Inderminado "/>
    <m/>
    <m/>
    <s v="L a V de 07hs a 15hs / S por medio de_x000a_07 a 15hs"/>
    <s v="CMV"/>
    <m/>
    <m/>
    <s v="Externa"/>
    <m/>
    <m/>
    <m/>
    <m/>
    <m/>
    <m/>
    <s v="Fin de Periodo de prueba"/>
  </r>
  <r>
    <s v="00254"/>
    <d v="2026-03-30T00:00:00"/>
    <n v="29"/>
    <x v="2"/>
    <s v="Aprobada"/>
    <m/>
    <s v="Si"/>
    <s v="Si"/>
    <m/>
    <s v="CMV"/>
    <m/>
    <s v="Enfermeria"/>
    <s v="Operaciones"/>
    <s v="Asistencial/Enfermería"/>
    <s v="ENFERMERO/A"/>
    <s v="Claudia Alí"/>
    <m/>
    <x v="2"/>
    <x v="7"/>
    <d v="2026-06-01T00:00:00"/>
    <s v="Baja"/>
    <s v="Media"/>
    <s v="Reemplazo"/>
    <m/>
    <s v="Rosa Soledad Mamani"/>
    <s v="Desvinculación empresa"/>
    <s v="Inderminado "/>
    <m/>
    <m/>
    <s v="L a V de 13hs a 21hs / S por medio de 07 a 15hs"/>
    <s v="CMV"/>
    <m/>
    <m/>
    <s v="Externa"/>
    <m/>
    <m/>
    <m/>
    <m/>
    <m/>
    <m/>
    <s v="Fin de Periodo de prueba"/>
  </r>
  <r>
    <s v="00255"/>
    <d v="2026-03-30T00:00:00"/>
    <s v="Cerrada"/>
    <x v="0"/>
    <s v="Aprobada"/>
    <m/>
    <s v="No"/>
    <m/>
    <m/>
    <s v="CMV"/>
    <m/>
    <s v="Operaciones"/>
    <s v="Operaciones"/>
    <s v="Servicios Generales"/>
    <s v="OFICIAL DE MANTENIMIENTO"/>
    <s v="Federico Carrasquera"/>
    <m/>
    <x v="0"/>
    <x v="0"/>
    <m/>
    <s v="Baja"/>
    <s v="Alta "/>
    <s v="Reemplazo"/>
    <m/>
    <s v="Ignacio Rupcich"/>
    <s v="Renuncia "/>
    <s v="Indeterminado "/>
    <m/>
    <m/>
    <s v="L a V de 08hs a 16hs / S de 08 a 13hs"/>
    <s v="CMV"/>
    <d v="2026-04-21T00:00:00"/>
    <d v="2026-04-23T00:00:00"/>
    <s v="Externa"/>
    <m/>
    <s v="Daniel Belmontes"/>
    <s v="$1.581.099,38 bruto /  $1.290.884,50 neto"/>
    <s v="130/75"/>
    <s v="No"/>
    <s v="No"/>
    <m/>
  </r>
  <r>
    <s v="00256"/>
    <d v="2026-03-31T00:00:00"/>
    <n v="28"/>
    <x v="0"/>
    <s v="Aprobada"/>
    <m/>
    <m/>
    <m/>
    <m/>
    <s v="SANATORIO COLEGIALES"/>
    <s v="Desarrollos en salud"/>
    <s v="Obras"/>
    <s v="Servicios de Apoyo"/>
    <s v="Mantenimiento y obras"/>
    <s v="Albañil"/>
    <s v="Tejedor"/>
    <m/>
    <x v="2"/>
    <x v="7"/>
    <d v="2026-05-11T00:00:00"/>
    <s v="Baja"/>
    <s v="Alta "/>
    <s v="Reemplazo"/>
    <n v="169386"/>
    <s v="Cristian Aguilar"/>
    <s v="Desvinculación empresa"/>
    <s v="Inderminado "/>
    <m/>
    <m/>
    <s v="Lunes a viernes de 8 a 17hs"/>
    <s v="SANATORIO"/>
    <m/>
    <m/>
    <s v="Externa"/>
    <m/>
    <m/>
    <s v="$1.190.191,57 bruto / $996.957,00 neto"/>
    <s v="122/75"/>
    <s v="No"/>
    <s v="No"/>
    <s v="Contabamos con un candidato para ingresar el dia 20/4/26 (Diego Veron) pero dejo de responder a la cita"/>
  </r>
  <r>
    <s v="00257"/>
    <d v="2026-04-01T00:00:00"/>
    <n v="27"/>
    <x v="4"/>
    <s v="Aprobada"/>
    <m/>
    <s v="No"/>
    <m/>
    <m/>
    <s v="PREPAGA"/>
    <m/>
    <s v="Business Inteligence"/>
    <s v="Administración"/>
    <s v="Analista IT"/>
    <s v="Analista Business Analytics"/>
    <s v="Ignacio Jaregui"/>
    <m/>
    <x v="2"/>
    <x v="2"/>
    <d v="2026-06-15T00:00:00"/>
    <s v="Alta "/>
    <s v="Media"/>
    <s v="Reemplazo"/>
    <m/>
    <m/>
    <s v="Desvinculación empresa"/>
    <s v="Inderminado "/>
    <m/>
    <m/>
    <m/>
    <m/>
    <m/>
    <m/>
    <m/>
    <m/>
    <m/>
    <m/>
    <m/>
    <m/>
    <m/>
    <m/>
  </r>
  <r>
    <s v="00258"/>
    <d v="2026-04-01T00:00:00"/>
    <s v="Cerrada"/>
    <x v="0"/>
    <s v="Aprobada"/>
    <m/>
    <m/>
    <m/>
    <m/>
    <s v="SANATORIO COLEGIALES"/>
    <m/>
    <s v="ADMISION"/>
    <s v="Consultorios Externos"/>
    <s v="Administrativo/a"/>
    <s v="Administrativo/a de Consultoríos Externos"/>
    <s v="Gomez"/>
    <m/>
    <x v="0"/>
    <x v="0"/>
    <d v="2026-04-21T00:00:00"/>
    <m/>
    <m/>
    <s v="Reemplazo"/>
    <m/>
    <s v="Aldana Mareco"/>
    <s v="Renuncia "/>
    <s v="Indeterminado "/>
    <m/>
    <m/>
    <s v="Lunes a Viernes 14 a 20 hs. Sábado por medio 7 a 13 hs."/>
    <s v="SANATORIO"/>
    <d v="2026-04-17T00:00:00"/>
    <d v="2026-04-21T00:00:00"/>
    <m/>
    <m/>
    <s v="Maria Ines Aquino"/>
    <s v="$896.354,91 bruto /  $743.214,00 neto"/>
    <s v="122/75"/>
    <s v="No"/>
    <s v="No"/>
    <m/>
  </r>
  <r>
    <s v="00259"/>
    <d v="2026-04-01T00:00:00"/>
    <s v="Cerrada"/>
    <x v="0"/>
    <s v="Aprobada"/>
    <m/>
    <m/>
    <m/>
    <m/>
    <s v="SANATORIO COLEGIALES"/>
    <m/>
    <s v="ADMISION"/>
    <s v="Consultorios Externos"/>
    <s v="Administrativo/a"/>
    <s v="Administrativo/a de Consultoríos Externos"/>
    <s v="Gomez"/>
    <m/>
    <x v="4"/>
    <x v="5"/>
    <m/>
    <m/>
    <m/>
    <s v="Reemplazo"/>
    <m/>
    <s v="Victoria Sánchez Ochoa"/>
    <s v="Renuncia "/>
    <s v="Indeterminado "/>
    <m/>
    <m/>
    <m/>
    <m/>
    <m/>
    <m/>
    <m/>
    <m/>
    <m/>
    <m/>
    <m/>
    <m/>
    <m/>
    <m/>
  </r>
  <r>
    <s v="00260"/>
    <d v="2026-03-30T00:00:00"/>
    <n v="29"/>
    <x v="2"/>
    <s v="Aprobada"/>
    <m/>
    <s v="No"/>
    <s v="No"/>
    <m/>
    <s v="SANATORIO COLEGIALES"/>
    <m/>
    <s v="HOTELERIA"/>
    <s v="INTERNACION"/>
    <s v="Servicios Generales"/>
    <s v="MUCAMO/A"/>
    <s v="Valeria Dodero"/>
    <m/>
    <x v="3"/>
    <x v="4"/>
    <d v="2026-05-11T00:00:00"/>
    <s v="Baja"/>
    <s v="Alta "/>
    <s v="Reemplazo"/>
    <m/>
    <s v="Ivan Flores"/>
    <s v="Movimiento interno"/>
    <s v="Inderminado "/>
    <m/>
    <m/>
    <s v="TM - 6 A 14 HS"/>
    <s v="SANATORIO"/>
    <m/>
    <m/>
    <s v="Externa"/>
    <m/>
    <s v="KARINA LEDESMA"/>
    <m/>
    <m/>
    <m/>
    <m/>
    <s v="Pase a Enfermería"/>
  </r>
  <r>
    <s v="00261"/>
    <d v="2026-03-30T00:00:00"/>
    <s v="Cerrada"/>
    <x v="2"/>
    <s v="Aprobada"/>
    <m/>
    <s v="No"/>
    <s v="No"/>
    <m/>
    <s v="SANATORIO COLEGIALES"/>
    <m/>
    <s v="HOTELERIA"/>
    <s v="INTERNACION"/>
    <s v="Servicios Generales"/>
    <s v="MUCAMO/A"/>
    <s v="Valeria Dodero"/>
    <m/>
    <x v="0"/>
    <x v="0"/>
    <m/>
    <m/>
    <m/>
    <s v="Reemplazo"/>
    <m/>
    <s v="Leticia Díaz"/>
    <s v="Movimiento interno"/>
    <s v="Inderminado "/>
    <m/>
    <m/>
    <s v="TM - 6 A 14 HS"/>
    <s v="SANATORIO"/>
    <d v="2026-04-20T00:00:00"/>
    <d v="2026-04-20T00:00:00"/>
    <s v="Externa"/>
    <m/>
    <s v="LISSETT FUENTES"/>
    <s v="Eventual. Se efectiviza el puesto"/>
    <m/>
    <m/>
    <m/>
    <s v="Pase a Enfermería"/>
  </r>
  <r>
    <s v="00262"/>
    <d v="2026-03-30T00:00:00"/>
    <s v="Cerrada"/>
    <x v="2"/>
    <s v="Aprobada"/>
    <m/>
    <s v="No"/>
    <s v="No"/>
    <m/>
    <s v="SANATORIO COLEGIALES"/>
    <m/>
    <s v="HOTELERIA"/>
    <s v="INTERNACION"/>
    <s v="Servicios Generales"/>
    <s v="MUCAMO/A"/>
    <s v="Valeria Dodero"/>
    <m/>
    <x v="0"/>
    <x v="0"/>
    <m/>
    <m/>
    <m/>
    <s v="Reemplazo"/>
    <m/>
    <s v="Mayra Insaurralde"/>
    <s v="Renuncia "/>
    <s v="Inderminado "/>
    <m/>
    <m/>
    <s v="TM - 6 A 14 HS"/>
    <s v="SANATORIO"/>
    <d v="2026-04-20T00:00:00"/>
    <d v="2026-04-20T00:00:00"/>
    <s v="Externa"/>
    <m/>
    <s v="FANNY QUINTEROS"/>
    <s v="Eventual. Se efectiviza el puesto"/>
    <s v="122/75"/>
    <m/>
    <m/>
    <s v="Renuncia 06/03"/>
  </r>
  <r>
    <s v="00263"/>
    <d v="2026-03-30T00:00:00"/>
    <s v="Cerrada"/>
    <x v="2"/>
    <s v="Cancelada"/>
    <m/>
    <s v="No"/>
    <s v="No"/>
    <m/>
    <s v="SANATORIO COLEGIALES"/>
    <m/>
    <s v="HOTELERIA"/>
    <s v="INTERNACION"/>
    <s v="Servicios Generales"/>
    <s v="MUCAMO/A"/>
    <s v="Valeria Dodero"/>
    <m/>
    <x v="1"/>
    <x v="1"/>
    <m/>
    <m/>
    <m/>
    <s v="Reemplazo"/>
    <m/>
    <s v="Wilma Rojas"/>
    <s v="Renuncia "/>
    <s v="Eventual "/>
    <m/>
    <m/>
    <s v="Vacaciones TM"/>
    <s v="SANATORIO"/>
    <m/>
    <m/>
    <s v="Externa"/>
    <m/>
    <m/>
    <m/>
    <m/>
    <m/>
    <m/>
    <s v="Renuncia 18/03 "/>
  </r>
  <r>
    <s v="00264"/>
    <d v="2026-03-30T00:00:00"/>
    <n v="29"/>
    <x v="2"/>
    <s v="Aprobada"/>
    <m/>
    <s v="No"/>
    <s v="No"/>
    <m/>
    <s v="SANATORIO COLEGIALES"/>
    <m/>
    <s v="KINESIOLOGIA"/>
    <s v="Terapia Intensiva"/>
    <s v="Asistencial/Otros"/>
    <s v="KINESIOLOGO/A"/>
    <s v="Laredo Rodrigo"/>
    <m/>
    <x v="2"/>
    <x v="10"/>
    <d v="2026-06-01T00:00:00"/>
    <s v="Baja"/>
    <s v="Media"/>
    <s v="Reemplazo"/>
    <m/>
    <s v="Camio Micaela"/>
    <s v="Licencia "/>
    <s v="Eventual "/>
    <m/>
    <m/>
    <s v="14 a 20 / s/d 8 a 20"/>
    <s v="SANATORIO"/>
    <m/>
    <m/>
    <s v="Externa"/>
    <m/>
    <m/>
    <m/>
    <m/>
    <m/>
    <m/>
    <m/>
  </r>
  <r>
    <s v="00265"/>
    <d v="2026-04-01T00:00:00"/>
    <n v="27"/>
    <x v="2"/>
    <s v="Aprobada"/>
    <m/>
    <s v="No"/>
    <s v="No"/>
    <m/>
    <s v="SANATORIO COLEGIALES"/>
    <m/>
    <s v="CLINICA MEDICA"/>
    <s v="INTERNACION"/>
    <s v="Liderazgo"/>
    <s v="COORDINADOR/A"/>
    <s v="Barone"/>
    <m/>
    <x v="2"/>
    <x v="11"/>
    <d v="2026-05-18T00:00:00"/>
    <s v="Media "/>
    <s v="Alta "/>
    <s v="Reemplazo"/>
    <m/>
    <s v="Lima Pedro"/>
    <s v="Renuncia "/>
    <s v="Inderminado "/>
    <m/>
    <m/>
    <m/>
    <m/>
    <m/>
    <m/>
    <m/>
    <m/>
    <m/>
    <m/>
    <m/>
    <m/>
    <m/>
    <m/>
  </r>
  <r>
    <s v="00266"/>
    <d v="2026-04-01T00:00:00"/>
    <n v="27"/>
    <x v="2"/>
    <s v="Aprobada"/>
    <m/>
    <s v="No"/>
    <s v="No"/>
    <m/>
    <s v="SANATORIO COLEGIALES"/>
    <m/>
    <s v="LABORATORIO"/>
    <s v="INTERNACION"/>
    <s v="Asistencial/Otros"/>
    <s v="TECNICO/A"/>
    <s v="Scarcelli"/>
    <m/>
    <x v="3"/>
    <x v="6"/>
    <d v="2026-05-01T00:00:00"/>
    <s v="Media "/>
    <s v="Alta "/>
    <s v="Reemplazo"/>
    <m/>
    <s v="Violeta Chinski"/>
    <s v="Renuncia "/>
    <s v="Inderminado "/>
    <m/>
    <m/>
    <s v="Lunes a Sábados 14 a 22 hs"/>
    <s v="SANATORIO"/>
    <d v="2026-04-21T00:00:00"/>
    <d v="2026-05-04T00:00:00"/>
    <s v="Externa"/>
    <m/>
    <s v="MAIA ZANE"/>
    <s v=" $1.615.215,71 bruto /_x0009_ $1.098.029,50 neto"/>
    <s v="122/75"/>
    <s v="No"/>
    <s v="No"/>
    <m/>
  </r>
  <r>
    <s v="00267"/>
    <d v="2026-04-01T00:00:00"/>
    <n v="27"/>
    <x v="2"/>
    <s v="Aprobada"/>
    <m/>
    <s v="No"/>
    <s v="No"/>
    <m/>
    <s v="SANATORIO COLEGIALES"/>
    <s v="CIRENDSA"/>
    <s v="Enfermeria"/>
    <s v="Área Cerrada"/>
    <s v="Asistencial/Enfermería"/>
    <s v="Enfermero/a de área cerrada (UCO/UTI)"/>
    <s v="Noelia Alvez"/>
    <m/>
    <x v="2"/>
    <x v="7"/>
    <d v="2026-05-18T00:00:00"/>
    <s v="Baja"/>
    <s v="Alta "/>
    <s v="Reemplazo"/>
    <m/>
    <s v="Sandra Davila"/>
    <s v="Renuncia "/>
    <s v="Inderminado "/>
    <m/>
    <m/>
    <s v="6 a 14 hs"/>
    <s v="SANATORIO"/>
    <m/>
    <m/>
    <s v="Externa"/>
    <m/>
    <m/>
    <m/>
    <m/>
    <m/>
    <m/>
    <m/>
  </r>
  <r>
    <s v="00268"/>
    <d v="2026-04-13T00:00:00"/>
    <n v="15"/>
    <x v="1"/>
    <s v="Aprobada"/>
    <m/>
    <s v="No"/>
    <m/>
    <m/>
    <s v="CMV"/>
    <m/>
    <s v="Atención al Paciente"/>
    <s v="Operaciones"/>
    <s v="Administrativo/a"/>
    <s v="FACTURISTA"/>
    <s v="Valeria Rios"/>
    <m/>
    <x v="2"/>
    <x v="2"/>
    <d v="2026-06-01T00:00:00"/>
    <s v="Baja"/>
    <s v="Baja "/>
    <s v="Reemplazo"/>
    <n v="11"/>
    <s v="NEGRI, ELENA GLADYS"/>
    <s v="Jubilación"/>
    <s v="Inderminado "/>
    <m/>
    <m/>
    <s v="9 a 18 hs lunes a Viernes"/>
    <s v="Sede Amenabar"/>
    <m/>
    <m/>
    <s v="Externa"/>
    <m/>
    <m/>
    <m/>
    <m/>
    <m/>
    <m/>
    <m/>
  </r>
  <r>
    <s v="00269"/>
    <d v="2026-03-31T00:00:00"/>
    <s v="Cerrada"/>
    <x v="4"/>
    <s v="Aprobada"/>
    <m/>
    <s v="No"/>
    <m/>
    <m/>
    <s v="CORPO"/>
    <s v="Cobensil SA"/>
    <s v="Pagos"/>
    <s v="ADMINISTRACION Y FINANZAS"/>
    <s v="Administrativo/a"/>
    <s v="ADMINISTRATIVO/A"/>
    <s v="Carla Fado"/>
    <m/>
    <x v="0"/>
    <x v="0"/>
    <m/>
    <m/>
    <m/>
    <s v="Reemplazo"/>
    <m/>
    <s v="Analia Olmeda"/>
    <s v="Renuncia "/>
    <s v="Inderminado "/>
    <m/>
    <m/>
    <s v="9 a 18 hs lunes a Viernes"/>
    <s v="La Musa"/>
    <d v="2026-04-07T00:00:00"/>
    <d v="2026-04-08T00:00:00"/>
    <s v="Interna"/>
    <s v="Búsqueda Interna"/>
    <s v="Tirado Laurente, Florencia "/>
    <m/>
    <m/>
    <m/>
    <m/>
    <m/>
  </r>
  <r>
    <s v="00270"/>
    <d v="2026-03-27T00:00:00"/>
    <s v="Cerrada"/>
    <x v="2"/>
    <s v="Aprobada"/>
    <m/>
    <s v="No"/>
    <s v="No"/>
    <m/>
    <s v="SANATORIO COLEGIALES"/>
    <m/>
    <s v="CLINICA MEDICA"/>
    <s v="INTERNACION"/>
    <s v="Asistencial/Enfermería"/>
    <s v="ENFERMERO/A"/>
    <s v="Alvez"/>
    <m/>
    <x v="0"/>
    <x v="0"/>
    <m/>
    <s v="Baja"/>
    <s v="Baja"/>
    <s v="Reemplazo"/>
    <n v="168864"/>
    <s v="_x0009_QUISPE JAUREGUI, LUIS"/>
    <s v="Renuncia "/>
    <s v="Indeterminado "/>
    <m/>
    <m/>
    <s v="14 a 22 hs"/>
    <s v="SANATORIO"/>
    <d v="2026-04-20T00:00:00"/>
    <d v="2026-04-20T00:00:00"/>
    <m/>
    <m/>
    <s v="ROCIO LANZALOT"/>
    <s v="Eventual. Se efectiviza el puesto"/>
    <s v="122/75"/>
    <m/>
    <m/>
    <m/>
  </r>
  <r>
    <s v="00271"/>
    <d v="2026-03-27T00:00:00"/>
    <n v="32"/>
    <x v="0"/>
    <s v="Aprobada"/>
    <m/>
    <s v="No"/>
    <m/>
    <m/>
    <s v="PREPAGA"/>
    <m/>
    <s v="Ventas Retail"/>
    <s v="Comercial"/>
    <s v="Comercial, ventas y cobranzas"/>
    <s v="VENDEDOR/A"/>
    <s v="Serafin"/>
    <m/>
    <x v="3"/>
    <x v="4"/>
    <d v="2026-05-11T00:00:00"/>
    <s v="Baja"/>
    <s v="Media"/>
    <s v="Reemplazo"/>
    <n v="170632"/>
    <s v="GUTCOVSKY, JULIETA"/>
    <s v="Renuncia "/>
    <s v="Inderminado "/>
    <m/>
    <m/>
    <m/>
    <m/>
    <m/>
    <m/>
    <m/>
    <m/>
    <m/>
    <m/>
    <m/>
    <m/>
    <m/>
    <m/>
  </r>
  <r>
    <s v="00272"/>
    <d v="2026-03-31T00:00:00"/>
    <n v="28"/>
    <x v="0"/>
    <s v="Aprobada"/>
    <m/>
    <s v="No"/>
    <m/>
    <m/>
    <s v="PREPAGA"/>
    <m/>
    <s v="Ventas Retail"/>
    <s v="Comercial"/>
    <s v="Comercial, ventas y cobranzas"/>
    <s v="VENDEDOR/A"/>
    <s v="Serafin"/>
    <m/>
    <x v="3"/>
    <x v="4"/>
    <d v="2026-05-11T00:00:00"/>
    <s v="Baja"/>
    <s v="Media"/>
    <s v="Reemplazo"/>
    <n v="1094"/>
    <s v="YAÑES BOGNI, MATIAS VALENTIN"/>
    <s v="Renuncia "/>
    <s v="Inderminado "/>
    <m/>
    <m/>
    <m/>
    <m/>
    <m/>
    <m/>
    <m/>
    <m/>
    <m/>
    <m/>
    <m/>
    <m/>
    <m/>
    <m/>
  </r>
  <r>
    <s v="00273"/>
    <d v="2026-03-16T00:00:00"/>
    <n v="43"/>
    <x v="0"/>
    <s v="Aprobada"/>
    <m/>
    <s v="No"/>
    <m/>
    <m/>
    <s v="PREPAGA"/>
    <m/>
    <s v="Ventas Retail"/>
    <s v="Comercial"/>
    <s v="Comercial, ventas y cobranzas"/>
    <s v="VENDEDOR/A"/>
    <s v="Serafin"/>
    <m/>
    <x v="2"/>
    <x v="10"/>
    <d v="2026-06-01T00:00:00"/>
    <s v="Baja"/>
    <s v="Media"/>
    <s v="Reemplazo"/>
    <n v="1093"/>
    <s v="MENESES MARIN, TANIUSKA ROGERLYS"/>
    <s v="Desvinculación empresa"/>
    <s v="Inderminado "/>
    <m/>
    <m/>
    <m/>
    <m/>
    <m/>
    <m/>
    <m/>
    <m/>
    <m/>
    <m/>
    <m/>
    <m/>
    <m/>
    <m/>
  </r>
  <r>
    <s v="00274"/>
    <d v="2026-03-16T00:00:00"/>
    <n v="43"/>
    <x v="0"/>
    <s v="Aprobada"/>
    <m/>
    <s v="No"/>
    <m/>
    <m/>
    <s v="PREPAGA"/>
    <m/>
    <s v="Ventas Retail"/>
    <s v="Comercial"/>
    <s v="Comercial, ventas y cobranzas"/>
    <s v="VENDEDOR/A"/>
    <s v="Serafin"/>
    <m/>
    <x v="2"/>
    <x v="10"/>
    <d v="2026-06-01T00:00:00"/>
    <s v="Baja"/>
    <s v="Media"/>
    <s v="Reemplazo"/>
    <n v="168680"/>
    <s v="CORREA, CAMILA MARIEL"/>
    <s v="Desvinculación empresa"/>
    <s v="Inderminado "/>
    <m/>
    <m/>
    <m/>
    <m/>
    <m/>
    <m/>
    <m/>
    <m/>
    <m/>
    <m/>
    <m/>
    <m/>
    <m/>
    <m/>
  </r>
  <r>
    <s v="00275"/>
    <d v="2026-03-16T00:00:00"/>
    <n v="43"/>
    <x v="0"/>
    <s v="Aprobada"/>
    <m/>
    <s v="No"/>
    <m/>
    <m/>
    <s v="PREPAGA"/>
    <m/>
    <s v="Ventas Retail"/>
    <s v="Comercial"/>
    <s v="Comercial, ventas y cobranzas"/>
    <s v="VENDEDOR/A"/>
    <s v="Serafin"/>
    <m/>
    <x v="2"/>
    <x v="10"/>
    <d v="2026-06-01T00:00:00"/>
    <s v="Baja"/>
    <s v="Media"/>
    <s v="Reemplazo"/>
    <n v="168697"/>
    <s v="PONCE, MATHEO NICOLAS"/>
    <s v="Desvinculación empresa"/>
    <s v="Inderminado "/>
    <m/>
    <m/>
    <m/>
    <m/>
    <m/>
    <m/>
    <m/>
    <m/>
    <m/>
    <m/>
    <m/>
    <m/>
    <m/>
    <m/>
  </r>
  <r>
    <s v="00276"/>
    <d v="2026-03-30T00:00:00"/>
    <s v="Cerrada"/>
    <x v="2"/>
    <s v="Aprobada"/>
    <m/>
    <s v="No"/>
    <s v="No"/>
    <m/>
    <s v="SANATORIO COLEGIALES"/>
    <m/>
    <s v="CLINICA MEDICA"/>
    <s v="INTERNACION"/>
    <s v="Asistencial/Enfermería"/>
    <s v="ENFERMERO/A"/>
    <s v="Noelia Alvez"/>
    <m/>
    <x v="0"/>
    <x v="0"/>
    <m/>
    <s v="Baja"/>
    <s v="Baja"/>
    <s v="Reemplazo"/>
    <n v="168840"/>
    <s v="MAMANI ALAN FRANCO"/>
    <s v="Renuncia "/>
    <s v="Indeterminado "/>
    <m/>
    <m/>
    <s v="14 a 22 hs"/>
    <s v="SANATORIO"/>
    <d v="2026-04-20T00:00:00"/>
    <d v="2026-04-20T00:00:00"/>
    <m/>
    <m/>
    <s v="BENJAMIN VALENCIA"/>
    <s v="Eventual. Se efectiviza el puesto"/>
    <s v="122/75"/>
    <m/>
    <m/>
    <m/>
  </r>
  <r>
    <s v="00277"/>
    <d v="2026-03-30T00:00:00"/>
    <n v="29"/>
    <x v="2"/>
    <s v="Aprobada"/>
    <m/>
    <s v="No"/>
    <s v="No"/>
    <m/>
    <s v="SANATORIO COLEGIALES"/>
    <m/>
    <s v="Enfermeria"/>
    <s v="Terapia Intensiva"/>
    <s v="Asistencial/Enfermería"/>
    <s v="Enfermero/a de Terapia Intensiva"/>
    <s v="Noelia Alvez"/>
    <m/>
    <x v="2"/>
    <x v="7"/>
    <d v="2026-05-18T00:00:00"/>
    <s v="Media "/>
    <s v="Baja"/>
    <s v="Reemplazo"/>
    <n v="169737"/>
    <s v="Fisderi Vasquez"/>
    <s v="Desvinculación empresa"/>
    <s v="Indeterminado "/>
    <m/>
    <m/>
    <s v="14 a 22 hs"/>
    <s v="SANATORIO"/>
    <m/>
    <m/>
    <m/>
    <m/>
    <m/>
    <m/>
    <s v="122/75"/>
    <m/>
    <m/>
    <m/>
  </r>
  <r>
    <s v="00278"/>
    <d v="2026-04-01T00:00:00"/>
    <n v="27"/>
    <x v="2"/>
    <s v="Aprobada"/>
    <m/>
    <s v="No"/>
    <s v="No"/>
    <m/>
    <s v="SANATORIO COLEGIALES"/>
    <m/>
    <s v="CLINICA MEDICA"/>
    <s v="INTERNACION"/>
    <s v="Asistencial/Médicos"/>
    <s v="MEDICO/A"/>
    <s v="Barone"/>
    <m/>
    <x v="3"/>
    <x v="6"/>
    <d v="2026-05-03T00:00:00"/>
    <s v="Media "/>
    <s v="Baja "/>
    <s v="Reemplazo"/>
    <n v="155642"/>
    <s v="Riera Paredes Cristian"/>
    <s v="Renuncia "/>
    <s v="Inderminado "/>
    <m/>
    <m/>
    <s v="Domingos 8 a 20 hs"/>
    <s v="SANATORIO"/>
    <d v="2026-04-21T00:00:00"/>
    <d v="2026-05-03T00:00:00"/>
    <s v="Externa"/>
    <m/>
    <s v="PRISCILA SANCHEZ "/>
    <s v=" $1.288.893,47 bruto /_x0009_ $1.050.448,18 neto"/>
    <s v="AMAP"/>
    <m/>
    <m/>
    <m/>
  </r>
  <r>
    <s v="00279"/>
    <d v="2026-04-01T00:00:00"/>
    <s v="Cerrada"/>
    <x v="2"/>
    <s v="Aprobada"/>
    <m/>
    <s v="No"/>
    <s v="No"/>
    <m/>
    <s v="SANATORIO COLEGIALES"/>
    <m/>
    <s v="CLINICA MEDICA"/>
    <s v="INTERNACION"/>
    <s v="Asistencial/Enfermería"/>
    <s v="ENFERMERO/A"/>
    <s v="Noelia Alvez"/>
    <m/>
    <x v="0"/>
    <x v="0"/>
    <m/>
    <s v="Baja"/>
    <s v="Baja "/>
    <s v="Reemplazo"/>
    <n v="151367"/>
    <s v="ARANIBAR JULLY "/>
    <s v="Movimiento interno"/>
    <s v="Indeterminado "/>
    <m/>
    <m/>
    <s v="6 a 14 hs"/>
    <s v="SANATORIO"/>
    <d v="2026-04-20T00:00:00"/>
    <d v="2026-04-20T00:00:00"/>
    <m/>
    <m/>
    <s v="LUIS BARRIOS"/>
    <s v="Eventual. Se efectiviza el puesto"/>
    <s v="122/75"/>
    <m/>
    <m/>
    <m/>
  </r>
  <r>
    <s v="00280"/>
    <d v="2026-03-17T00:00:00"/>
    <s v="Cerrada"/>
    <x v="2"/>
    <s v="Aprobada"/>
    <m/>
    <s v="No"/>
    <s v="No"/>
    <m/>
    <s v="SANATORIO COLEGIALES"/>
    <m/>
    <s v="Enfermeria"/>
    <s v="INTERNACION"/>
    <s v="Asistencial/Enfermería"/>
    <s v="ENFERMERO/A"/>
    <s v="Noelia Alvez"/>
    <m/>
    <x v="0"/>
    <x v="0"/>
    <m/>
    <s v="Baja"/>
    <s v="Baja "/>
    <s v="Reemplazo"/>
    <m/>
    <s v=" CARRASCO ALAN AXEL GABRIEL"/>
    <s v="Renuncia "/>
    <s v="Indeterminado "/>
    <m/>
    <m/>
    <s v="14 A 22 HS"/>
    <s v="SANATORIO"/>
    <d v="2026-04-20T00:00:00"/>
    <d v="2026-04-20T00:00:00"/>
    <m/>
    <m/>
    <s v="ISABEL MAMANI"/>
    <s v="Eventual. Se efectiviza el puesto"/>
    <s v="122/75"/>
    <m/>
    <m/>
    <m/>
  </r>
  <r>
    <s v="00281"/>
    <d v="2026-04-07T00:00:00"/>
    <n v="21"/>
    <x v="1"/>
    <s v="Aprobada"/>
    <m/>
    <s v="No"/>
    <s v="No"/>
    <m/>
    <s v="SANATORIO COLEGIALES"/>
    <m/>
    <s v="BIOINGENIERIA"/>
    <s v="Bioingenieria"/>
    <s v="Asistencial/Otros"/>
    <s v="TECNICO/A"/>
    <s v="Javier Luder"/>
    <m/>
    <x v="3"/>
    <x v="4"/>
    <d v="2026-05-11T00:00:00"/>
    <s v="Media "/>
    <s v="Alta "/>
    <s v="Reemplazo"/>
    <m/>
    <s v="BORDON FRANCO"/>
    <s v="Renuncia "/>
    <s v="Inderminado "/>
    <m/>
    <m/>
    <m/>
    <m/>
    <m/>
    <m/>
    <m/>
    <m/>
    <m/>
    <m/>
    <s v="FUCO"/>
    <m/>
    <m/>
    <m/>
  </r>
  <r>
    <s v="00282"/>
    <d v="2026-04-07T00:00:00"/>
    <n v="21"/>
    <x v="2"/>
    <s v="Aprobada"/>
    <m/>
    <s v="No"/>
    <s v="No"/>
    <m/>
    <s v="SANATORIO COLEGIALES"/>
    <m/>
    <s v="Enfermeria"/>
    <s v="INTERNACION"/>
    <s v="Asistencial/Enfermería"/>
    <s v="ENFERMERO/A"/>
    <s v="Noelia Alvez"/>
    <m/>
    <x v="3"/>
    <x v="6"/>
    <d v="2026-05-04T00:00:00"/>
    <s v="Baja"/>
    <s v="Baja "/>
    <s v="Reemplazo"/>
    <m/>
    <s v="MAMANI MARIA ROSA"/>
    <s v="Renuncia "/>
    <s v="Inderminado "/>
    <m/>
    <m/>
    <s v="14 a 22 HS"/>
    <s v="SANATORIO"/>
    <d v="2026-04-21T00:00:00"/>
    <d v="2026-05-04T00:00:00"/>
    <s v="Externa"/>
    <m/>
    <s v="Evelyn Condori"/>
    <s v=" $1.303.213,92 bruto /_x0009_ $1.093.671,00 neto"/>
    <s v="122/75"/>
    <m/>
    <m/>
    <m/>
  </r>
  <r>
    <s v="00283"/>
    <d v="2026-04-13T00:00:00"/>
    <s v="Cerrada"/>
    <x v="0"/>
    <s v="Aprobada"/>
    <m/>
    <m/>
    <m/>
    <m/>
    <s v="CORPO"/>
    <s v="Healthnes SA"/>
    <s v="CONTACT CENTER"/>
    <s v="Operaciones"/>
    <s v="Administrativo/a"/>
    <s v="Operador call center"/>
    <s v="Zukoski"/>
    <m/>
    <x v="0"/>
    <x v="0"/>
    <d v="2026-04-21T00:00:00"/>
    <s v="Baja"/>
    <s v="Alta "/>
    <s v="Reemplazo"/>
    <n v="160471"/>
    <s v="Florencia Tirado Laurente"/>
    <s v="Movimiento interno"/>
    <s v="Indeterminado "/>
    <m/>
    <m/>
    <s v="lunes a jueves de 8 a 18 y viernes de 10 a 18hs"/>
    <s v="CONTACT CENTER"/>
    <d v="2026-04-07T00:00:00"/>
    <d v="2026-04-20T00:00:00"/>
    <m/>
    <m/>
    <s v="Selene Acuña"/>
    <s v="$ 1.265.500 bruto / $ 1.032.000 neto "/>
    <s v="130/75"/>
    <m/>
    <m/>
    <m/>
  </r>
  <r>
    <s v="00284"/>
    <d v="2026-04-10T00:00:00"/>
    <n v="18"/>
    <x v="0"/>
    <s v="Aprobada"/>
    <m/>
    <m/>
    <m/>
    <m/>
    <s v="SANATORIO COLEGIALES"/>
    <s v="Desarrollos en salud"/>
    <s v="Obras"/>
    <s v="Servicios de Apoyo"/>
    <s v="Mantenimiento y obras"/>
    <s v="Albañil"/>
    <s v="Tejedor"/>
    <m/>
    <x v="2"/>
    <x v="7"/>
    <d v="2026-05-11T00:00:00"/>
    <s v="Baja"/>
    <s v="Alta "/>
    <s v="Reemplazo"/>
    <m/>
    <s v="Para completar dotación"/>
    <s v="Renuncia "/>
    <s v="Inderminado "/>
    <m/>
    <m/>
    <s v="Lunes a viernes de 8 a 17hs"/>
    <s v="SANATORIO"/>
    <m/>
    <m/>
    <m/>
    <m/>
    <m/>
    <m/>
    <m/>
    <m/>
    <m/>
    <m/>
  </r>
  <r>
    <s v="00285"/>
    <d v="2026-04-13T00:00:00"/>
    <n v="15"/>
    <x v="0"/>
    <s v="Aprobada"/>
    <m/>
    <s v="Si"/>
    <s v="Si"/>
    <m/>
    <s v="PREPAGA"/>
    <s v="Cobensil SA"/>
    <s v="VENTAS CORPORATIVAS"/>
    <s v="Comercial"/>
    <s v="Comercial, ventas y cobranzas"/>
    <s v="VENDEDOR/A"/>
    <s v="Juan Francisco Mandingorra"/>
    <m/>
    <x v="2"/>
    <x v="2"/>
    <d v="2026-05-11T00:00:00"/>
    <s v="Media "/>
    <s v="Alta "/>
    <s v="Reemplazo"/>
    <n v="164312"/>
    <s v="MARIA LUJAN BARRIENTOS"/>
    <s v="Desvinculación empresa"/>
    <s v="Inderminado "/>
    <m/>
    <m/>
    <s v="10 a 18 hs"/>
    <s v="Perón 1479 CABA"/>
    <m/>
    <m/>
    <m/>
    <m/>
    <m/>
    <m/>
    <m/>
    <m/>
    <m/>
    <m/>
  </r>
  <r>
    <s v="00286"/>
    <d v="2026-04-13T00:00:00"/>
    <n v="15"/>
    <x v="0"/>
    <s v="Aprobada"/>
    <m/>
    <s v="Si"/>
    <s v="Si"/>
    <m/>
    <s v="PREPAGA"/>
    <s v="Cobensil SA"/>
    <s v="VENTAS CORPORATIVAS"/>
    <s v="Comercial"/>
    <s v="Comercial, ventas y cobranzas"/>
    <s v="VENDEDOR/A"/>
    <s v="Juan Francisco Mandingorra"/>
    <m/>
    <x v="2"/>
    <x v="2"/>
    <d v="2026-05-11T00:00:00"/>
    <s v="Media "/>
    <s v="Alta "/>
    <s v="Reemplazo"/>
    <n v="163654"/>
    <s v="KARINA SAYAL"/>
    <s v="Desvinculación empresa"/>
    <s v="Inderminado "/>
    <m/>
    <m/>
    <s v="10 a 18 hs"/>
    <s v="Perón 1479 CABA"/>
    <m/>
    <m/>
    <m/>
    <m/>
    <m/>
    <m/>
    <m/>
    <m/>
    <m/>
    <m/>
  </r>
  <r>
    <s v="00287"/>
    <d v="2026-04-06T00:00:00"/>
    <n v="22"/>
    <x v="0"/>
    <s v="Aprobada"/>
    <m/>
    <s v="No"/>
    <s v="No"/>
    <m/>
    <s v="PREPAGA"/>
    <m/>
    <s v="Ventas Retail"/>
    <s v="Comercial"/>
    <s v="Comercial, ventas y cobranzas"/>
    <s v="VENDEDOR/A"/>
    <s v="Serafin"/>
    <m/>
    <x v="2"/>
    <x v="10"/>
    <d v="2026-06-01T00:00:00"/>
    <s v="Baja"/>
    <s v="Media"/>
    <s v="Reemplazo"/>
    <n v="1095"/>
    <s v="CARVAJAL PERALTA, PERLA LILIBETH"/>
    <s v="Renuncia "/>
    <s v="Inderminado "/>
    <m/>
    <m/>
    <m/>
    <m/>
    <m/>
    <m/>
    <m/>
    <m/>
    <m/>
    <m/>
    <m/>
    <m/>
    <m/>
    <m/>
  </r>
  <r>
    <s v="00288"/>
    <d v="2026-04-10T00:00:00"/>
    <n v="18"/>
    <x v="0"/>
    <s v="Aprobada"/>
    <m/>
    <s v="No"/>
    <s v="No"/>
    <m/>
    <s v="PREPAGA"/>
    <m/>
    <s v="Ventas Retail"/>
    <s v="Comercial"/>
    <s v="Comercial, ventas y cobranzas"/>
    <s v="VENDEDOR/A"/>
    <s v="Serafin"/>
    <m/>
    <x v="2"/>
    <x v="10"/>
    <d v="2026-06-01T00:00:00"/>
    <s v="Baja"/>
    <s v="Media"/>
    <s v="Reemplazo"/>
    <n v="1097"/>
    <s v="ARROYO, ALEJANDRO LEONARDO"/>
    <s v="Renuncia "/>
    <s v="Inderminado "/>
    <m/>
    <m/>
    <m/>
    <m/>
    <m/>
    <m/>
    <m/>
    <m/>
    <m/>
    <m/>
    <m/>
    <m/>
    <m/>
    <m/>
  </r>
  <r>
    <s v="00289"/>
    <d v="2026-04-08T00:00:00"/>
    <n v="20"/>
    <x v="0"/>
    <s v="Aprobada"/>
    <m/>
    <s v="No"/>
    <s v="No"/>
    <m/>
    <s v="PREPAGA"/>
    <m/>
    <s v="Ventas Retail"/>
    <s v="Comercial"/>
    <s v="Comercial, ventas y cobranzas"/>
    <s v="VENDEDOR/A"/>
    <s v="Serafin"/>
    <m/>
    <x v="2"/>
    <x v="10"/>
    <d v="2026-06-01T00:00:00"/>
    <s v="Baja"/>
    <s v="Media"/>
    <s v="Reemplazo"/>
    <n v="170021"/>
    <s v="BANEGAS NEMBHARD, MARYANA ALEXANDRA"/>
    <s v="Renuncia "/>
    <s v="Inderminado "/>
    <m/>
    <m/>
    <m/>
    <m/>
    <m/>
    <m/>
    <m/>
    <m/>
    <m/>
    <m/>
    <m/>
    <m/>
    <m/>
    <m/>
  </r>
  <r>
    <s v="00290"/>
    <d v="2026-04-14T00:00:00"/>
    <n v="14"/>
    <x v="1"/>
    <s v="Aprobada"/>
    <m/>
    <s v="No"/>
    <s v="No"/>
    <m/>
    <s v="SANATORIO COLEGIALES"/>
    <m/>
    <s v="SOPORTE TECNICO"/>
    <s v="ADMINISTRACION Y FINANZAS"/>
    <s v="Analista IT"/>
    <s v="COORDINADOR/A"/>
    <s v="Sebastian Gatica"/>
    <m/>
    <x v="2"/>
    <x v="2"/>
    <d v="2026-06-15T00:00:00"/>
    <s v="Media "/>
    <s v="Media"/>
    <s v="Reemplazo"/>
    <n v="155031"/>
    <s v="PAUL ALEXANDER MOSS"/>
    <s v="Renuncia "/>
    <s v="Inderminado "/>
    <m/>
    <m/>
    <s v="Luneas a Viernes de 8 a 17 hs"/>
    <m/>
    <m/>
    <m/>
    <m/>
    <m/>
    <m/>
    <m/>
    <m/>
    <m/>
    <m/>
    <m/>
  </r>
  <r>
    <s v="00291"/>
    <d v="2026-04-14T00:00:00"/>
    <n v="14"/>
    <x v="2"/>
    <s v="Aprobada"/>
    <m/>
    <s v="No"/>
    <s v="No"/>
    <m/>
    <s v="CMV"/>
    <m/>
    <s v="FARMACIA"/>
    <m/>
    <s v="Asistencial/Otros"/>
    <s v="DIRECTOR/A TECNICO/A DE FARMACIA"/>
    <s v="Claudia Alí"/>
    <m/>
    <x v="2"/>
    <x v="12"/>
    <d v="2026-05-18T00:00:00"/>
    <s v="Media "/>
    <s v="Alta "/>
    <s v="Apertura de puesto"/>
    <m/>
    <m/>
    <s v="Nuevo proyecto "/>
    <s v="Indeterminado "/>
    <m/>
    <m/>
    <m/>
    <s v="CMV"/>
    <m/>
    <m/>
    <m/>
    <m/>
    <m/>
    <m/>
    <m/>
    <m/>
    <m/>
    <m/>
  </r>
  <r>
    <s v="00292"/>
    <d v="2026-04-14T00:00:00"/>
    <n v="14"/>
    <x v="4"/>
    <s v="Aprobada"/>
    <m/>
    <s v="Si"/>
    <s v="Si"/>
    <m/>
    <s v="FARMACIA"/>
    <s v="Farmacia Nobel SA"/>
    <s v="ADMINISTRACION"/>
    <s v="ADMINISTRACION Y FINANZAS"/>
    <s v="Administrativo/a"/>
    <s v="ADMINISTRATIVO/A"/>
    <s v="Emilio Zalis"/>
    <m/>
    <x v="2"/>
    <x v="10"/>
    <d v="2026-05-18T00:00:00"/>
    <s v="Media "/>
    <s v="Alta "/>
    <s v="Reemplazo"/>
    <m/>
    <s v="Confidencial"/>
    <s v="Desvinculación empresa"/>
    <s v="Indeterminado "/>
    <m/>
    <m/>
    <s v="Lunes a Viernes de 9 a 18 hs "/>
    <m/>
    <m/>
    <m/>
    <m/>
    <m/>
    <m/>
    <m/>
    <m/>
    <m/>
    <m/>
    <m/>
  </r>
  <r>
    <s v="00293"/>
    <d v="2026-04-17T00:00:00"/>
    <n v="11"/>
    <x v="2"/>
    <s v="Aprobada"/>
    <m/>
    <s v="No"/>
    <s v="Si"/>
    <d v="2026-05-18T00:00:00"/>
    <s v="SANATORIO COLEGIALES"/>
    <m/>
    <s v="TERAPISTAS INTENSIVOS"/>
    <s v="Terapia Intensiva"/>
    <s v="Asistencial/Médicos"/>
    <s v="MEDICO/A"/>
    <s v="Salcedo"/>
    <m/>
    <x v="3"/>
    <x v="6"/>
    <d v="2026-05-04T00:00:00"/>
    <s v="Media "/>
    <s v="Media"/>
    <s v="Reemplazo"/>
    <n v="164831"/>
    <s v="PADILLA GUILLOTH, MARIA JOSE"/>
    <s v="Renuncia "/>
    <s v="Indeterminado "/>
    <m/>
    <m/>
    <s v="LUNES 8 A 8 HS"/>
    <s v="SANATORIO"/>
    <d v="2026-04-15T00:00:00"/>
    <d v="2026-05-04T00:00:00"/>
    <m/>
    <m/>
    <s v="Agustin Aller"/>
    <s v=" $ 2.555.900 bruto / $ 2.083.000 neto"/>
    <s v="AMAP"/>
    <s v="No"/>
    <s v="No"/>
    <m/>
  </r>
  <r>
    <s v="00294"/>
    <d v="2026-04-17T00:00:00"/>
    <n v="11"/>
    <x v="2"/>
    <s v="Aprobada"/>
    <m/>
    <s v="No"/>
    <s v="No"/>
    <m/>
    <s v="SANATORIO COLEGIALES"/>
    <s v="CIRENDSA"/>
    <s v="Enfermeria"/>
    <s v="INTERNACION"/>
    <s v="Asistencial/Enfermería"/>
    <s v="ENFERMERO/A"/>
    <s v="Noelia Alvez"/>
    <m/>
    <x v="3"/>
    <x v="6"/>
    <d v="2026-05-04T00:00:00"/>
    <s v="Baja"/>
    <s v="Baja"/>
    <s v="Reemplazo"/>
    <n v="170953"/>
    <s v="AYALA, VIRGINIA ISABEL"/>
    <s v="Renuncia "/>
    <s v="Indeterminado "/>
    <m/>
    <m/>
    <s v="14 a 22 HS"/>
    <s v="SANATORIO"/>
    <d v="2026-04-27T00:00:00"/>
    <d v="2026-05-04T00:00:00"/>
    <s v="Interna"/>
    <m/>
    <s v="VERONICA BALERIO CALDERON"/>
    <s v="Pase interno TM"/>
    <s v="122/75"/>
    <m/>
    <m/>
    <m/>
  </r>
  <r>
    <s v="00295"/>
    <d v="2026-04-17T00:00:00"/>
    <n v="11"/>
    <x v="2"/>
    <s v="Aprobada"/>
    <m/>
    <s v="No"/>
    <s v="Si"/>
    <d v="2026-04-19T00:00:00"/>
    <s v="SANATORIO COLEGIALES"/>
    <s v="CIRENDSA"/>
    <s v="Enfermeria"/>
    <s v="Terapia Intensiva"/>
    <s v="Asistencial/Enfermería"/>
    <s v="Enfermero/a de Terapia Intensiva"/>
    <s v="Alvez"/>
    <m/>
    <x v="2"/>
    <x v="10"/>
    <d v="2026-06-01T00:00:00"/>
    <s v="Media "/>
    <s v="Media"/>
    <s v="Reemplazo"/>
    <n v="136346"/>
    <s v="ZAMUDIO VEDIA, MIGUEL OSVALDO"/>
    <s v="Renuncia "/>
    <s v="Indeterminado "/>
    <m/>
    <m/>
    <s v="14 a 22 HS"/>
    <s v="SANATORIO"/>
    <m/>
    <m/>
    <m/>
    <m/>
    <m/>
    <m/>
    <s v="122/75"/>
    <m/>
    <m/>
    <m/>
  </r>
  <r>
    <s v="00296"/>
    <d v="2026-04-16T00:00:00"/>
    <s v="Cerrada"/>
    <x v="2"/>
    <s v="Aprobada"/>
    <m/>
    <s v="No"/>
    <s v="No"/>
    <m/>
    <s v="SANATORIO COLEGIALES"/>
    <m/>
    <s v="Enfermeria"/>
    <s v="INTERNACION"/>
    <s v="Asistencial/Enfermería"/>
    <s v="ENFERMERO/A"/>
    <s v="Alvez"/>
    <m/>
    <x v="0"/>
    <x v="0"/>
    <m/>
    <s v="Baja"/>
    <s v="Baja"/>
    <s v="Reemplazo"/>
    <n v="148961"/>
    <s v="CARLA PLACEREANO"/>
    <s v="Renuncia "/>
    <s v="Indeterminado "/>
    <m/>
    <m/>
    <s v="6 a 14 hs"/>
    <s v="SANATORIO"/>
    <d v="2026-04-27T00:00:00"/>
    <d v="2026-04-27T00:00:00"/>
    <m/>
    <m/>
    <s v="Cinthia Lopez"/>
    <s v="Eventual. Se efectiviza el puesto"/>
    <s v="122/75"/>
    <m/>
    <m/>
    <m/>
  </r>
  <r>
    <s v="00297"/>
    <d v="2026-04-17T00:00:00"/>
    <n v="11"/>
    <x v="2"/>
    <s v="Aprobada"/>
    <m/>
    <m/>
    <m/>
    <m/>
    <s v="SANATORIO COLEGIALES"/>
    <s v="Laboratorio Internacional SA"/>
    <s v="LABORATORIO"/>
    <s v="Laboratorio"/>
    <s v="Asistencial/Otros"/>
    <s v="Tecnico/a de Laboratorio"/>
    <s v="Benitez Elias"/>
    <m/>
    <x v="2"/>
    <x v="10"/>
    <d v="2026-05-18T00:00:00"/>
    <s v="Media "/>
    <s v="Alta "/>
    <s v="Reemplazo"/>
    <n v="5"/>
    <s v="Passagio "/>
    <s v="Renuncia "/>
    <s v="Indeterminado "/>
    <m/>
    <m/>
    <s v="Turno mañana Lunes a viernes  6 - 14 hs - Guardia Domingo 14 a 22hs"/>
    <s v="SANATORIO"/>
    <m/>
    <m/>
    <m/>
    <m/>
    <m/>
    <m/>
    <n v="108"/>
    <m/>
    <m/>
    <m/>
  </r>
  <r>
    <s v="00298"/>
    <d v="2026-04-16T00:00:00"/>
    <n v="12"/>
    <x v="0"/>
    <s v="Aprobada"/>
    <m/>
    <s v="Si"/>
    <s v="Si"/>
    <m/>
    <s v="FARMACIA"/>
    <s v="Farmacia Nobel SA"/>
    <s v="FARMACIA"/>
    <s v="FARMACIA LAMAITE"/>
    <s v="Administrativo/a"/>
    <s v="EMPLEADO/A DE MOSTRADOR"/>
    <s v="Sergio Bernigaud"/>
    <m/>
    <x v="2"/>
    <x v="11"/>
    <d v="2026-05-11T00:00:00"/>
    <s v="Baja"/>
    <s v="Alta "/>
    <s v="Reemplazo"/>
    <n v="148312"/>
    <s v="VESTILLEIRO, RUBEN ADRIAN"/>
    <s v="Futura desvinculación"/>
    <s v="Indeterminado "/>
    <s v="El puesto es critico para garantizar la dotación mínima_x000a_requerida en la farmacia. Actualmente, la operación de_x000a_los domingos depende de este rol. Su ausencia_x000a_desarticularía el esquema de atención al público,_x000a_comprometiendo la calidad del servicio._x000a_"/>
    <s v="Habría sobrecarga en el resto del personal, lo que_x000a_generaría riesgo de errores en la dispensación por_x000a_agotamiento físico y mental del equipo actual."/>
    <s v="Lunes a Viernes de 16 a 22hs y Domingos de 9 a 21hs"/>
    <s v="Conde 815"/>
    <m/>
    <m/>
    <m/>
    <m/>
    <m/>
    <m/>
    <n v="414"/>
    <m/>
    <m/>
    <m/>
  </r>
  <r>
    <s v="00299"/>
    <d v="2026-04-17T00:00:00"/>
    <n v="11"/>
    <x v="1"/>
    <s v="Aprobada"/>
    <s v="No"/>
    <s v="Si"/>
    <s v="Si"/>
    <m/>
    <s v="SANATORIO COLEGIALES"/>
    <s v="Desarrollos en Salud SA"/>
    <s v="Comercial"/>
    <s v="ADMINISTRACION Y FINANZAS"/>
    <s v="Liderazgo"/>
    <s v="JEFE/A"/>
    <s v="Alejandro Poeta"/>
    <m/>
    <x v="2"/>
    <x v="11"/>
    <d v="2026-06-15T00:00:00"/>
    <s v="Media "/>
    <s v="Alta "/>
    <s v="Reemplazo"/>
    <m/>
    <m/>
    <s v="Futura desvinculación"/>
    <s v="Indeterminado "/>
    <m/>
    <m/>
    <m/>
    <m/>
    <m/>
    <m/>
    <m/>
    <m/>
    <m/>
    <m/>
    <s v="FUCO"/>
    <m/>
    <m/>
    <m/>
  </r>
  <r>
    <s v="00300"/>
    <d v="2026-04-17T00:00:00"/>
    <s v="Cerrada"/>
    <x v="2"/>
    <s v="Cancelada"/>
    <s v="No"/>
    <s v="Si"/>
    <s v="Si"/>
    <m/>
    <s v="CMV"/>
    <s v="Centrol Médico Vilella SA"/>
    <s v="BUSINESS MANAGER"/>
    <s v="Administracion"/>
    <s v="Liderazgo"/>
    <s v="JEFE/A"/>
    <s v="Claudia Alí"/>
    <m/>
    <x v="4"/>
    <x v="5"/>
    <m/>
    <m/>
    <m/>
    <s v="Reemplazo"/>
    <m/>
    <m/>
    <s v="Futura desvinculación"/>
    <s v="Indeterminado "/>
    <m/>
    <m/>
    <m/>
    <m/>
    <m/>
    <m/>
    <m/>
    <m/>
    <m/>
    <m/>
    <s v="FUCO"/>
    <m/>
    <m/>
    <m/>
  </r>
  <r>
    <s v="00301"/>
    <d v="2026-04-17T00:00:00"/>
    <n v="11"/>
    <x v="2"/>
    <s v="Aprobada"/>
    <s v="No"/>
    <s v="No"/>
    <s v="No"/>
    <m/>
    <s v="SANATORIO COLEGIALES"/>
    <s v="Desarrollos en Salud SA"/>
    <s v="HOTELERIA"/>
    <s v="INTERNACION"/>
    <s v="Servicios Generales"/>
    <s v="MUCAMO/A"/>
    <s v="Dodero"/>
    <m/>
    <x v="2"/>
    <x v="2"/>
    <d v="2026-06-01T00:00:00"/>
    <s v="Baja"/>
    <s v="Baja "/>
    <s v="Reemplazo"/>
    <n v="110995"/>
    <s v="Acuña Gabriela"/>
    <s v="Licencia "/>
    <s v="Plazo Fijo"/>
    <s v="Licencia Psiq"/>
    <m/>
    <s v="14 a 22 hs"/>
    <s v="SANATORIO"/>
    <m/>
    <m/>
    <m/>
    <m/>
    <m/>
    <m/>
    <s v="122/75"/>
    <m/>
    <m/>
    <m/>
  </r>
  <r>
    <s v="00302"/>
    <d v="2026-04-10T00:00:00"/>
    <n v="18"/>
    <x v="0"/>
    <s v="Aprobada"/>
    <s v="No"/>
    <m/>
    <m/>
    <m/>
    <s v="SERVICIOS DE ADMINISTRACIÓN"/>
    <m/>
    <m/>
    <m/>
    <s v="Servicios Generales"/>
    <s v="OFICIAL DE MANTENIMIENTO"/>
    <s v="Jennifer Mijares"/>
    <m/>
    <x v="2"/>
    <x v="2"/>
    <d v="2026-05-11T00:00:00"/>
    <s v="Baja"/>
    <s v="Alta "/>
    <s v="Apertura de puesto"/>
    <m/>
    <m/>
    <s v="Crecimiento del área"/>
    <s v="Indeterminado "/>
    <s v="El ingreso de esta oficial resulta crítico para pasar de_x000a_gestionar la crisis a dar respuestas con eficiencia_x000a_operativa, ya que actualmente la dispersión geográfica_x000a_y la cantidad de activos (20 edificios para solo 3_x000a_oficiales) anulan la capacidad de realizar_x000a_mantenimiento preventivo real. Esta incorporación_x000a_ayudaría a reducir el agotamiento del personal y_x000a_representa un ahorro directo al reducir reparaciones de_x000a_emergencia costosas, proteger el valor de los_x000a_inmuebles y garantizar que la infraestructura no afecte_x000a_la productividad de los 660 colaboradores que allí_x000a_laboran._x000a_"/>
    <s v="El retardo o falta de ejecución de los trabajos de falta_x000a_de mantenimiento preventivo provocaría fallas_x000a_inevitables cuyo costo de reparación sería_x000a_significativamente alto. El impacto directo sería la_x000a_degradación de la infraestructura y el aumento de los_x000a_tiempos de inactividad de las sedes, lo que_x000a_compromete la seguridad y la productividad de los_x000a_colaboradores y de los médicos, pacientes y socios que_x000a_también acuden a las instalaciones, mientras que el_x000a_agotamiento del equipo actual podría generar una_x000a_rotación de personal por fatiga, dejando a los 20_x000a_edificios en un estado de vulnerabilidad en al área de_x000a_mantenimiento._x000a_"/>
    <s v="Martes a Viernes de 9:00 a 18:00 y Sábados de 8:00 a_x000a_14:00"/>
    <s v="Sede Amenabar 1074, trabajo rotativo diferentes Sedes_x000a_del Grupo_x000a_"/>
    <m/>
    <m/>
    <m/>
    <m/>
    <m/>
    <m/>
    <m/>
    <m/>
    <m/>
    <s v="La aprobación de esta vacante corresponde al cambio de rol de la vacante de Jefe de Mantenimiento la cual pasa a estado CANCELADO"/>
  </r>
  <r>
    <s v="00303"/>
    <d v="2026-04-20T00:00:00"/>
    <n v="8"/>
    <x v="0"/>
    <s v="Pendiente"/>
    <m/>
    <m/>
    <m/>
    <m/>
    <s v="SANATORIO COLEGIALES"/>
    <s v="Desarrollos en Salud SA"/>
    <s v="Comercial"/>
    <s v="Administración y Finanzas"/>
    <s v="Administrativo/a"/>
    <s v="Analista de convenios"/>
    <s v="Alejandro Poeta"/>
    <m/>
    <x v="2"/>
    <x v="11"/>
    <d v="2026-05-18T00:00:00"/>
    <s v="Media "/>
    <s v="Alta "/>
    <s v="Reemplazo"/>
    <s v="157266_x0009_"/>
    <s v="MILANESIO DE OLASO, MARIA PAULA"/>
    <s v="Renuncia "/>
    <s v="Indeterminado "/>
    <s v="El area de análisis de convenios da soporte a las_x000a_actividades comerciales de Sanatorio Colegiales y_x000a_Centres Ambulatorios. El sector estaba sobrecargado_x000a_de trabajo con una sola persona (María Paula), razón_x000a_por la cual avanzamos en la contratación de Pedro_x000a_Goicoechea, quien ingresó a la empresa hace dos_x000a_semanas."/>
    <s v="Voveremos a estar limitados en el nivel de respuesta,_x000a_como sucedía cuando María Paula estaba sola, con el_x000a_agravante de que Pedro no tiene todavía la experiencia_x000a_suficiente para poder dar el mismo desempeño que_x000a_Paula._x000a_"/>
    <s v="Lunes a Viernes 9 a 18 hs"/>
    <s v="La Musa"/>
    <m/>
    <m/>
    <m/>
    <m/>
    <m/>
    <m/>
    <m/>
    <m/>
    <m/>
    <m/>
  </r>
  <r>
    <s v="00304"/>
    <d v="2026-04-16T00:00:00"/>
    <n v="12"/>
    <x v="2"/>
    <s v="Aprobada"/>
    <m/>
    <s v="No"/>
    <s v="No"/>
    <m/>
    <s v="SANATORIO COLEGIALES"/>
    <s v="Desarrollos en Salud SA"/>
    <s v="TRAUMATOLOGIA"/>
    <s v="Guardia"/>
    <s v="Asistencial/Médicos"/>
    <s v="MEDICO/A"/>
    <s v="FAIMAN"/>
    <m/>
    <x v="2"/>
    <x v="2"/>
    <d v="2026-05-18T00:00:00"/>
    <s v="Media "/>
    <s v="Media"/>
    <s v="Reemplazo"/>
    <n v="165704"/>
    <s v="ALBA MOLINA JUAN CARLOS"/>
    <s v="Renuncia "/>
    <s v="Indeterminado "/>
    <m/>
    <m/>
    <s v="LUNES 8 A 20 HS"/>
    <s v="SANATORIO"/>
    <m/>
    <m/>
    <m/>
    <m/>
    <m/>
    <m/>
    <s v="AMAP"/>
    <m/>
    <m/>
    <m/>
  </r>
  <r>
    <s v="00305"/>
    <d v="2026-04-16T00:00:00"/>
    <n v="12"/>
    <x v="2"/>
    <s v="Aprobada"/>
    <m/>
    <s v="No"/>
    <s v="No"/>
    <m/>
    <s v="SANATORIO COLEGIALES"/>
    <s v="Desarrollos en Salud SA"/>
    <s v="HOTELERIA"/>
    <s v="INTERNACION"/>
    <s v="Servicios Generales"/>
    <s v="MUCAMO/A"/>
    <s v="Dodero"/>
    <m/>
    <x v="3"/>
    <x v="4"/>
    <d v="2026-05-18T00:00:00"/>
    <s v="Baja"/>
    <s v="Alta "/>
    <s v="Reemplazo"/>
    <n v="147723"/>
    <s v="LEDESMA DANIELA"/>
    <s v="Renuncia "/>
    <s v="Indeterminado "/>
    <m/>
    <m/>
    <s v="14 A 22 HS"/>
    <s v="SANATORIO"/>
    <m/>
    <m/>
    <m/>
    <m/>
    <m/>
    <m/>
    <s v="122/75"/>
    <m/>
    <m/>
    <m/>
  </r>
  <r>
    <s v="00306"/>
    <d v="2026-04-15T00:00:00"/>
    <n v="13"/>
    <x v="2"/>
    <s v="Aprobada"/>
    <m/>
    <s v="No"/>
    <s v="No"/>
    <m/>
    <s v="SANATORIO COLEGIALES"/>
    <s v="Desarrollos en Salud SA"/>
    <s v="SERVICIO DE ALIMENTACION"/>
    <s v="Servicios de Apoyo"/>
    <s v="Servicios Generales"/>
    <s v="PEON"/>
    <s v="CORDOBA"/>
    <m/>
    <x v="2"/>
    <x v="2"/>
    <d v="2026-05-18T00:00:00"/>
    <s v="Baja"/>
    <s v="Media"/>
    <s v="Reemplazo"/>
    <n v="82424"/>
    <s v="CARDOZO OSCAR"/>
    <s v="Desvinculación empresa"/>
    <s v="Indeterminado "/>
    <m/>
    <m/>
    <m/>
    <s v="SANATORIO"/>
    <m/>
    <m/>
    <m/>
    <m/>
    <m/>
    <m/>
    <s v="122/75"/>
    <m/>
    <m/>
    <m/>
  </r>
  <r>
    <s v="00307"/>
    <d v="2026-04-01T00:00:00"/>
    <s v="Cerrada"/>
    <x v="2"/>
    <s v="Aprobada"/>
    <m/>
    <s v="No"/>
    <s v="Si"/>
    <d v="2026-05-04T00:00:00"/>
    <s v="SANATORIO COLEGIALES"/>
    <s v="Desarrollos en Salud SA"/>
    <s v="CIRUGIA"/>
    <s v="Quirofano"/>
    <s v="Asistencial/Otros"/>
    <s v="INSTRUMENTADOR/A"/>
    <s v="Di Franco"/>
    <m/>
    <x v="0"/>
    <x v="0"/>
    <d v="2026-04-27T00:00:00"/>
    <m/>
    <m/>
    <s v="Reemplazo"/>
    <n v="167656"/>
    <s v="SALAZAR PEREZ, ROSNELSI ELIANNY"/>
    <s v="Desvinculación empresa"/>
    <s v="Indeterminado "/>
    <m/>
    <m/>
    <s v="Lunes a Sábados 15 a 23 hs. Feriado rotativo"/>
    <s v="SANATORIO"/>
    <d v="2026-04-22T00:00:00"/>
    <m/>
    <m/>
    <m/>
    <s v="Dolores Vargas"/>
    <s v="Eventual. Se efectiviza el puesto"/>
    <s v="122/75"/>
    <m/>
    <m/>
    <m/>
  </r>
  <r>
    <s v="00308"/>
    <d v="2026-04-01T00:00:00"/>
    <s v="Cerrada"/>
    <x v="2"/>
    <s v="Aprobada"/>
    <m/>
    <s v="No"/>
    <s v="No"/>
    <m/>
    <s v="SANATORIO COLEGIALES"/>
    <s v="Desarrollos en Salud SA"/>
    <s v="HOTELERIA"/>
    <s v="INTERNACION"/>
    <s v="Servicios Generales"/>
    <s v="MUCAMO/A"/>
    <s v="Dodero"/>
    <m/>
    <x v="0"/>
    <x v="0"/>
    <d v="2026-04-27T00:00:00"/>
    <m/>
    <m/>
    <s v="Reemplazo"/>
    <n v="97871"/>
    <s v="PEÑA NOELIA (Delegada)"/>
    <s v="Licencia "/>
    <s v="Indeterminado "/>
    <m/>
    <m/>
    <s v="14 a 22 hs"/>
    <s v="SANATORIO"/>
    <d v="2026-04-27T00:00:00"/>
    <d v="2026-04-27T00:00:00"/>
    <m/>
    <m/>
    <s v="Romina Sarmiento"/>
    <s v="Eventual. Se efectiviza el puesto"/>
    <s v="122/75"/>
    <m/>
    <m/>
    <m/>
  </r>
  <r>
    <s v="00309"/>
    <d v="2026-04-20T00:00:00"/>
    <n v="8"/>
    <x v="2"/>
    <s v="Aprobada"/>
    <m/>
    <s v="No"/>
    <s v="No"/>
    <m/>
    <s v="SANATORIO COLEGIALES"/>
    <s v="Desarrollos en Salud SA"/>
    <s v="HOTELERIA"/>
    <s v="INTERNACION"/>
    <s v="Servicios Generales"/>
    <s v="MUCAMO/A"/>
    <s v="Dodero"/>
    <m/>
    <x v="2"/>
    <x v="2"/>
    <d v="2026-05-18T00:00:00"/>
    <s v="Baja"/>
    <s v="Media"/>
    <s v="Reemplazo"/>
    <n v="127973"/>
    <s v="BENITEZ, NOELIA NOEMI"/>
    <s v="Licencia "/>
    <s v="Plazo Fijo"/>
    <s v="Licencia Psiq"/>
    <m/>
    <s v="14 a 22 hs"/>
    <s v="SANATORIO"/>
    <m/>
    <m/>
    <m/>
    <m/>
    <m/>
    <m/>
    <m/>
    <m/>
    <m/>
    <m/>
  </r>
  <r>
    <s v="00310"/>
    <d v="2026-04-06T00:00:00"/>
    <n v="22"/>
    <x v="2"/>
    <s v="Aprobada"/>
    <m/>
    <s v="No"/>
    <s v="No"/>
    <m/>
    <s v="SANATORIO COLEGIALES"/>
    <s v="Desarrollos en Salud SA"/>
    <s v="Enfermeria"/>
    <s v="Terapia Intensiva"/>
    <s v="Asistencial/Enfermería"/>
    <s v="Enfermero/a de Terapia Intensiva"/>
    <s v="Alvez"/>
    <m/>
    <x v="2"/>
    <x v="2"/>
    <d v="2026-05-18T00:00:00"/>
    <s v="Baja"/>
    <s v="Media"/>
    <s v="Reemplazo"/>
    <n v="170762"/>
    <s v="ASTORGA DIAZ WENDY "/>
    <s v="Renuncia "/>
    <s v="Indeterminado "/>
    <m/>
    <m/>
    <s v="14 a 22 hs"/>
    <s v="SANATORIO"/>
    <m/>
    <m/>
    <m/>
    <m/>
    <m/>
    <m/>
    <m/>
    <m/>
    <m/>
    <m/>
  </r>
  <r>
    <s v="00311"/>
    <d v="2026-04-24T00:00:00"/>
    <n v="4"/>
    <x v="2"/>
    <s v="Aprobada"/>
    <m/>
    <s v="No"/>
    <s v="No"/>
    <m/>
    <s v="SANATORIO COLEGIALES"/>
    <s v="Desarrollos en Salud SA"/>
    <s v="HOTELERIA"/>
    <s v="INTERNACION"/>
    <s v="Servicios Generales"/>
    <s v="MUCAMO/A"/>
    <s v="Valeria Dodero"/>
    <m/>
    <x v="3"/>
    <x v="6"/>
    <d v="2026-05-04T00:00:00"/>
    <s v="Baja"/>
    <s v="Alta "/>
    <s v="Reemplazo"/>
    <n v="170281"/>
    <s v="Florencia de los Santos"/>
    <s v="Desvinculación empresa"/>
    <s v="Plazo Fijo"/>
    <s v="Licencia Psiq"/>
    <m/>
    <s v="14 a 22 hs por Licencia prolongada de 157990 Evelyn Haedo"/>
    <s v="SANATORIO"/>
    <d v="2026-04-20T00:00:00"/>
    <d v="2026-05-04T00:00:00"/>
    <m/>
    <m/>
    <s v="Sandra Murillo"/>
    <s v=" $1.123.895,63 bruto /_x0009_ $946.630,00 neto"/>
    <s v="122/75"/>
    <m/>
    <m/>
    <s v="14 a 22 hs por Licencia prolongada de 157990 Evelyn Haedo"/>
  </r>
  <r>
    <s v="00312"/>
    <d v="2026-03-30T00:00:00"/>
    <n v="29"/>
    <x v="2"/>
    <s v="Aprobada"/>
    <m/>
    <s v="No"/>
    <s v="No"/>
    <m/>
    <s v="SANATORIO COLEGIALES"/>
    <s v="Desarrollos en Salud SA"/>
    <s v="Enfermeria"/>
    <s v="INTERNACION"/>
    <s v="Asistencial/Enfermería"/>
    <s v="ENFERMERO/A"/>
    <s v="Alvez"/>
    <m/>
    <x v="2"/>
    <x v="2"/>
    <d v="2026-05-18T00:00:00"/>
    <s v="Baja"/>
    <s v="Media"/>
    <s v="Reemplazo"/>
    <n v="152605"/>
    <s v="ORTIZ MENDOZA, HAYLI"/>
    <s v="Renuncia "/>
    <s v="Indeterminado "/>
    <m/>
    <m/>
    <s v="14 a 22 hs"/>
    <s v="SANATORIO"/>
    <m/>
    <m/>
    <m/>
    <m/>
    <m/>
    <m/>
    <m/>
    <m/>
    <m/>
    <m/>
  </r>
  <r>
    <s v="00313"/>
    <d v="2026-02-18T00:00:00"/>
    <n v="69"/>
    <x v="2"/>
    <s v="Aprobada"/>
    <m/>
    <s v="No"/>
    <s v="No"/>
    <m/>
    <s v="SANATORIO COLEGIALES"/>
    <s v="Desarrollos en Salud SA"/>
    <s v="Enfermeria"/>
    <s v="Terapia Intensiva"/>
    <s v="Asistencial/Enfermería"/>
    <s v="Enfermero/a de Terapia Intensiva"/>
    <s v="Noelia Alvez"/>
    <m/>
    <x v="3"/>
    <x v="6"/>
    <d v="2026-05-04T00:00:00"/>
    <s v="Baja"/>
    <s v="Alta "/>
    <s v="Reemplazo"/>
    <n v="122145"/>
    <s v="PERALTA ANA MARIA"/>
    <s v="Renuncia "/>
    <s v="Indeterminado "/>
    <m/>
    <m/>
    <s v="14 a 22 hs"/>
    <s v="SANATORIO"/>
    <d v="2026-04-20T00:00:00"/>
    <d v="2026-05-04T00:00:00"/>
    <m/>
    <m/>
    <s v="Elizabeth Goffi"/>
    <s v=" $1.732.557,22 bruto /_x0009_ $1.445.732,50 neto"/>
    <s v="122/75"/>
    <m/>
    <m/>
    <m/>
  </r>
  <r>
    <s v="00314"/>
    <d v="2026-02-14T00:00:00"/>
    <n v="73"/>
    <x v="2"/>
    <s v="Aprobada"/>
    <m/>
    <s v="No"/>
    <s v="No"/>
    <m/>
    <s v="SANATORIO COLEGIALES"/>
    <s v="Desarrollos en Salud SA"/>
    <s v="Enfermeria"/>
    <s v="INTERNACION"/>
    <s v="Asistencial/Enfermería"/>
    <s v="ENFERMERO/A"/>
    <s v="Alvez"/>
    <m/>
    <x v="2"/>
    <x v="2"/>
    <d v="2026-05-18T00:00:00"/>
    <s v="Baja"/>
    <s v="Media"/>
    <s v="Reemplazo"/>
    <n v="165629"/>
    <s v="BLANCO NINA"/>
    <s v="Renuncia "/>
    <s v="Indeterminado "/>
    <m/>
    <m/>
    <s v="14 a 22 hs"/>
    <s v="SANATORIO"/>
    <m/>
    <m/>
    <m/>
    <m/>
    <m/>
    <m/>
    <s v="122/75"/>
    <m/>
    <m/>
    <m/>
  </r>
  <r>
    <s v="00315"/>
    <d v="2026-03-30T00:00:00"/>
    <n v="29"/>
    <x v="2"/>
    <s v="Aprobada"/>
    <m/>
    <s v="No"/>
    <s v="No"/>
    <m/>
    <s v="SANATORIO COLEGIALES"/>
    <s v="Desarrollos en Salud SA"/>
    <s v="Enfermeria"/>
    <s v="Terapia Intensiva"/>
    <s v="Asistencial/Enfermería"/>
    <s v="Enfermero/a de Terapia Intensiva"/>
    <s v="Alvez"/>
    <m/>
    <x v="2"/>
    <x v="2"/>
    <d v="2026-05-18T00:00:00"/>
    <s v="Baja"/>
    <s v="Media"/>
    <s v="Reemplazo"/>
    <n v="152254"/>
    <s v="Carolina Romay"/>
    <s v="Crecimiento del área"/>
    <s v="Indeterminado "/>
    <m/>
    <m/>
    <s v="6 a 14 hs"/>
    <s v="SANATORIO"/>
    <m/>
    <m/>
    <m/>
    <m/>
    <m/>
    <m/>
    <s v="122/75"/>
    <m/>
    <m/>
    <m/>
  </r>
  <r>
    <s v="00316"/>
    <d v="2026-04-27T00:00:00"/>
    <n v="1"/>
    <x v="2"/>
    <s v="Aprobada"/>
    <m/>
    <s v="No"/>
    <s v="No"/>
    <m/>
    <s v="SANATORIO COLEGIALES"/>
    <s v="Desarrollos en Salud SA"/>
    <s v="Enfermeria"/>
    <s v="INTERNACION"/>
    <s v="Asistencial/Enfermería"/>
    <s v="ENFERMERO/A"/>
    <s v="Alvez"/>
    <m/>
    <x v="2"/>
    <x v="2"/>
    <d v="2026-05-18T00:00:00"/>
    <s v="Baja"/>
    <s v="Media"/>
    <s v="Reemplazo"/>
    <n v="170946"/>
    <s v="Jessica Lopez"/>
    <s v="Renuncia "/>
    <s v="Indeterminado "/>
    <m/>
    <m/>
    <s v="6 a 14 hs"/>
    <s v="SANATORIO"/>
    <m/>
    <m/>
    <m/>
    <m/>
    <m/>
    <m/>
    <s v="122/75"/>
    <m/>
    <m/>
    <m/>
  </r>
  <r>
    <s v="00317"/>
    <m/>
    <s v=""/>
    <x v="5"/>
    <m/>
    <m/>
    <m/>
    <m/>
    <m/>
    <m/>
    <m/>
    <m/>
    <m/>
    <m/>
    <m/>
    <m/>
    <m/>
    <x v="5"/>
    <x v="8"/>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00001"/>
    <d v="2025-01-16T00:00:00"/>
    <s v="Cerrada"/>
    <s v="Franco"/>
    <s v="Aprobada"/>
    <m/>
    <s v="No"/>
    <m/>
    <m/>
    <x v="0"/>
    <s v="Cobensil SA"/>
    <s v="Ventas Retail"/>
    <s v="Comercial"/>
    <s v="Comercial, ventas y cobranzas"/>
    <s v="VENDEDOR/A"/>
    <s v="Serafin"/>
    <m/>
    <x v="0"/>
    <x v="0"/>
    <m/>
    <m/>
    <m/>
    <s v="Reemplazo"/>
    <m/>
    <s v="MOYANO ARIANA SOLEDAD (168710)"/>
    <m/>
    <s v="Inderminado "/>
    <m/>
    <m/>
    <s v="Lunes a Viernes de 10 a 18hs"/>
    <s v="Sede Colegiales (Lacroze 3257)"/>
    <d v="2026-02-04T00:00:00"/>
    <d v="2026-02-10T00:00:00"/>
    <m/>
    <m/>
    <s v="BANEGAS NEMBHARD, MARYANA ALEXANDRA"/>
    <s v="$1.271.329,36 bruto /  $1.036.688,00 neto"/>
    <s v="130/75"/>
    <s v="No"/>
    <s v="No"/>
    <m/>
  </r>
  <r>
    <s v="00002"/>
    <d v="2025-01-21T00:00:00"/>
    <s v="Cerrada"/>
    <s v="Franco"/>
    <s v="Aprobada"/>
    <m/>
    <m/>
    <m/>
    <m/>
    <x v="0"/>
    <m/>
    <s v="Ventas Retail"/>
    <s v="Comercial"/>
    <s v="Comercial, ventas y cobranzas"/>
    <s v="VENDEDOR/A"/>
    <s v="Serafin"/>
    <m/>
    <x v="0"/>
    <x v="0"/>
    <m/>
    <m/>
    <m/>
    <s v="Apertura de puesto"/>
    <m/>
    <m/>
    <m/>
    <s v="Inderminado "/>
    <m/>
    <m/>
    <m/>
    <m/>
    <d v="2026-02-11T00:00:00"/>
    <d v="2026-02-18T00:00:00"/>
    <m/>
    <m/>
    <s v="Matias Yanez"/>
    <m/>
    <m/>
    <m/>
    <m/>
    <m/>
  </r>
  <r>
    <s v="00003"/>
    <d v="2025-01-21T00:00:00"/>
    <s v="Cerrada"/>
    <s v="Franco"/>
    <s v="Aprobada"/>
    <m/>
    <m/>
    <m/>
    <m/>
    <x v="0"/>
    <m/>
    <s v="Ventas Retail"/>
    <s v="Comercial"/>
    <s v="Comercial, ventas y cobranzas"/>
    <s v="VENDEDOR/A"/>
    <s v="Serafin"/>
    <m/>
    <x v="0"/>
    <x v="0"/>
    <m/>
    <m/>
    <m/>
    <s v="Apertura de puesto"/>
    <m/>
    <m/>
    <m/>
    <s v="Inderminado "/>
    <m/>
    <m/>
    <m/>
    <m/>
    <d v="2026-02-11T00:00:00"/>
    <d v="2026-02-18T00:00:00"/>
    <m/>
    <m/>
    <s v="Perla Carvajal "/>
    <m/>
    <m/>
    <m/>
    <m/>
    <m/>
  </r>
  <r>
    <s v="00004"/>
    <d v="2025-01-21T00:00:00"/>
    <s v="Cerrada"/>
    <s v="Franco"/>
    <s v="Aprobada"/>
    <m/>
    <s v="No"/>
    <m/>
    <m/>
    <x v="0"/>
    <s v="Cobensil SA"/>
    <s v="Ventas Retail"/>
    <s v="Comercial"/>
    <s v="Comercial, ventas y cobranzas"/>
    <s v="VENDEDOR/A"/>
    <s v="Serafin"/>
    <s v="Sergio Couceiro"/>
    <x v="0"/>
    <x v="0"/>
    <d v="2026-03-19T00:00:00"/>
    <s v="Baja"/>
    <s v="Media"/>
    <s v="Apertura de puesto"/>
    <m/>
    <m/>
    <m/>
    <s v="Inderminado "/>
    <m/>
    <m/>
    <s v="Lunes a Viernes de 10 a 18 hs"/>
    <s v="Cober - Vicente Lopez"/>
    <d v="2026-03-13T00:00:00"/>
    <d v="2026-03-19T00:00:00"/>
    <s v="Externa"/>
    <s v="Consultora"/>
    <s v=" Lady Gomes "/>
    <s v=" $1.271.329,36 Bruto"/>
    <s v="130/75"/>
    <s v="No"/>
    <s v="No"/>
    <m/>
  </r>
  <r>
    <s v="00005"/>
    <d v="2025-01-21T00:00:00"/>
    <s v="Cerrada"/>
    <s v="Franco"/>
    <s v="Aprobada"/>
    <m/>
    <s v="No"/>
    <m/>
    <m/>
    <x v="0"/>
    <s v="Cobensil SA"/>
    <s v="Ventas Retail"/>
    <s v="Comercial"/>
    <s v="Comercial, ventas y cobranzas"/>
    <s v="VENDEDOR/A"/>
    <s v="Serafin"/>
    <s v="Sergio Couceiro"/>
    <x v="0"/>
    <x v="0"/>
    <d v="2026-03-19T00:00:00"/>
    <s v="Baja"/>
    <s v="Media"/>
    <s v="Apertura de puesto"/>
    <m/>
    <m/>
    <m/>
    <s v="Inderminado "/>
    <m/>
    <m/>
    <s v="Lunes a Viernes de 10 a 18 hs"/>
    <s v="Cober - Vicente Lopez"/>
    <d v="2026-03-13T00:00:00"/>
    <d v="2026-03-19T00:00:00"/>
    <s v="Externa"/>
    <s v="Consultora"/>
    <s v=" Joel Dree "/>
    <s v=" $1.271.329,36 Bruto"/>
    <s v="130/75"/>
    <s v="No"/>
    <s v="No"/>
    <m/>
  </r>
  <r>
    <s v="00006"/>
    <d v="2025-01-21T00:00:00"/>
    <s v="Cerrada"/>
    <s v="Franco"/>
    <s v="Aprobada"/>
    <m/>
    <s v="No"/>
    <m/>
    <m/>
    <x v="0"/>
    <s v="Cobensil SA"/>
    <s v="Ventas Retail"/>
    <s v="Comercial"/>
    <s v="Comercial, ventas y cobranzas"/>
    <s v="VENDEDOR/A"/>
    <s v="Serafin"/>
    <s v="Sergio Couceiro"/>
    <x v="0"/>
    <x v="0"/>
    <d v="2026-03-19T00:00:00"/>
    <s v="Baja"/>
    <s v="Media"/>
    <s v="Apertura de puesto"/>
    <m/>
    <m/>
    <m/>
    <s v="Inderminado "/>
    <m/>
    <m/>
    <s v="Lunes a Viernes de 10 a 18 hs"/>
    <s v="Cober - Vicente Lopez"/>
    <d v="2026-03-13T00:00:00"/>
    <d v="2026-03-19T00:00:00"/>
    <s v="Externa"/>
    <s v="Consultora"/>
    <s v=" Romina Rojas "/>
    <s v=" $1.271.329,36 Bruto"/>
    <s v="130/75"/>
    <s v="No"/>
    <s v="No"/>
    <m/>
  </r>
  <r>
    <s v="00007"/>
    <d v="2025-01-21T00:00:00"/>
    <s v="Cerrada"/>
    <s v="Franco"/>
    <s v="Aprobada"/>
    <m/>
    <s v="No"/>
    <m/>
    <m/>
    <x v="0"/>
    <s v="Cobensil SA"/>
    <s v="Ventas Retail"/>
    <s v="Comercial"/>
    <s v="Comercial, ventas y cobranzas"/>
    <s v="VENDEDOR/A"/>
    <s v="Serafin"/>
    <s v=" Patricia Mozota"/>
    <x v="0"/>
    <x v="0"/>
    <d v="2026-03-19T00:00:00"/>
    <s v="Baja"/>
    <s v="Media"/>
    <s v="Apertura de puesto"/>
    <m/>
    <m/>
    <m/>
    <s v="Inderminado "/>
    <m/>
    <m/>
    <s v="Lunes a Viernes de 10 a 18 hs"/>
    <s v="Cober - Lacroze"/>
    <d v="2026-03-13T00:00:00"/>
    <d v="2026-03-19T00:00:00"/>
    <s v="Externa"/>
    <s v="Consultora"/>
    <s v=" Carolina Ledesma "/>
    <s v=" $1.271.329,36 Bruto"/>
    <s v="130/75"/>
    <s v="No"/>
    <s v="No"/>
    <m/>
  </r>
  <r>
    <s v="00008"/>
    <d v="2025-01-21T00:00:00"/>
    <s v="Cerrada"/>
    <s v="Franco"/>
    <s v="Aprobada"/>
    <m/>
    <s v="No"/>
    <m/>
    <m/>
    <x v="0"/>
    <s v="Cobensil SA"/>
    <s v="Ventas Retail"/>
    <s v="Comercial"/>
    <s v="Comercial, ventas y cobranzas"/>
    <s v="VENDEDOR/A"/>
    <s v="Serafin"/>
    <s v=" Patricia Mozota"/>
    <x v="0"/>
    <x v="0"/>
    <d v="2026-03-19T00:00:00"/>
    <s v="Baja"/>
    <m/>
    <s v="Apertura de puesto"/>
    <m/>
    <m/>
    <m/>
    <s v="Inderminado "/>
    <m/>
    <m/>
    <s v="Lunes a Viernes de 10 a 18 hs"/>
    <s v="Cober - Lacroze"/>
    <d v="2026-03-13T00:00:00"/>
    <d v="2026-03-19T00:00:00"/>
    <s v="Externa"/>
    <s v="Consultora"/>
    <s v=" Julieta Gutcovsky "/>
    <s v=" $1.271.329,36 Bruto"/>
    <s v="130/75"/>
    <s v="No"/>
    <s v="No"/>
    <m/>
  </r>
  <r>
    <s v="00009"/>
    <d v="2025-01-21T00:00:00"/>
    <s v="Cerrada"/>
    <s v="Franco"/>
    <s v="Aprobada"/>
    <m/>
    <s v="No"/>
    <m/>
    <m/>
    <x v="0"/>
    <s v="Cobensil SA"/>
    <s v="Ventas Retail"/>
    <s v="Comercial"/>
    <s v="Comercial, ventas y cobranzas"/>
    <s v="VENDEDOR/A"/>
    <s v="Serafin"/>
    <s v=" Patricia Mozota"/>
    <x v="0"/>
    <x v="0"/>
    <d v="2026-03-19T00:00:00"/>
    <s v="Baja"/>
    <m/>
    <s v="Apertura de puesto"/>
    <m/>
    <m/>
    <m/>
    <s v="Inderminado "/>
    <m/>
    <m/>
    <s v="Lunes a Viernes de 10 a 18 hs"/>
    <s v="Cober - Lacroze"/>
    <d v="2026-03-13T00:00:00"/>
    <d v="2026-03-19T00:00:00"/>
    <s v="Externa"/>
    <s v="Consultora"/>
    <s v=" Noelia Quintana "/>
    <s v=" $1.271.329,36 Bruto"/>
    <s v="130/75"/>
    <s v="No"/>
    <s v="No"/>
    <m/>
  </r>
  <r>
    <s v="00010"/>
    <d v="2025-01-21T00:00:00"/>
    <s v="Cerrada"/>
    <s v="Franco"/>
    <s v="Aprobada"/>
    <m/>
    <m/>
    <m/>
    <m/>
    <x v="0"/>
    <s v="Bristol Medicine SRL"/>
    <s v="Ventas Retail"/>
    <s v="Comercial"/>
    <s v="Comercial, ventas y cobranzas"/>
    <s v="VENDEDOR/A"/>
    <s v="Serafin"/>
    <s v="Gabriela Mira"/>
    <x v="0"/>
    <x v="0"/>
    <d v="2026-03-19T00:00:00"/>
    <s v="Baja"/>
    <m/>
    <s v="Apertura de puesto"/>
    <m/>
    <m/>
    <m/>
    <s v="Inderminado "/>
    <m/>
    <m/>
    <s v="Lunes a Viernes de 10 a 17hs"/>
    <s v="Bristol - Céspedes"/>
    <d v="2026-03-16T00:00:00"/>
    <d v="2026-03-19T00:00:00"/>
    <s v="Externa"/>
    <s v="Consultora"/>
    <s v=" Ryan Hutchinson "/>
    <s v=" $961.576,34 Bruto"/>
    <s v="108/75"/>
    <s v="No"/>
    <s v="No"/>
    <m/>
  </r>
  <r>
    <s v="00011"/>
    <d v="2025-01-21T00:00:00"/>
    <s v="Cerrada"/>
    <s v="Franco"/>
    <s v="Aprobada"/>
    <m/>
    <m/>
    <m/>
    <m/>
    <x v="0"/>
    <s v="Bristol Medicine SRL"/>
    <s v="Ventas Retail"/>
    <s v="Comercial"/>
    <s v="Comercial, ventas y cobranzas"/>
    <s v="VENDEDOR/A"/>
    <s v="Serafin"/>
    <s v="Gabriela Mira"/>
    <x v="0"/>
    <x v="0"/>
    <d v="2026-03-19T00:00:00"/>
    <s v="Baja"/>
    <m/>
    <s v="Apertura de puesto"/>
    <m/>
    <m/>
    <m/>
    <s v="Inderminado "/>
    <m/>
    <m/>
    <s v="Lunes a Viernes de 10 a 17hs"/>
    <s v="Bristol - Céspedes"/>
    <d v="2026-03-16T00:00:00"/>
    <d v="2026-03-19T00:00:00"/>
    <s v="Externa"/>
    <s v="Consultora"/>
    <s v=" Katia Lambare "/>
    <s v=" $961.576,34 Bruto"/>
    <s v="108/75"/>
    <s v="No"/>
    <s v="No"/>
    <m/>
  </r>
  <r>
    <s v="00012"/>
    <d v="2025-01-21T00:00:00"/>
    <s v="Cerrada"/>
    <s v="Franco"/>
    <s v="Aprobada"/>
    <m/>
    <m/>
    <m/>
    <m/>
    <x v="0"/>
    <s v="Bristol Medicine SRL"/>
    <s v="Ventas Retail"/>
    <s v="Comercial"/>
    <s v="Comercial, ventas y cobranzas"/>
    <s v="VENDEDOR/A"/>
    <s v="Serafin"/>
    <s v="Vanesa Serafin "/>
    <x v="0"/>
    <x v="0"/>
    <d v="2026-03-19T00:00:00"/>
    <s v="Baja"/>
    <m/>
    <s v="Apertura de puesto"/>
    <m/>
    <m/>
    <m/>
    <s v="Inderminado "/>
    <m/>
    <m/>
    <s v="Lunes a Viernes de 10 a 17hs"/>
    <s v="Bristol - Céspedes"/>
    <d v="2026-03-16T00:00:00"/>
    <d v="2026-03-19T00:00:00"/>
    <s v="Externa"/>
    <s v="Consultora"/>
    <s v=" Brian Gryncwejg "/>
    <s v=" $961.576,34 Bruto"/>
    <s v="108/75"/>
    <s v="No"/>
    <s v="No"/>
    <m/>
  </r>
  <r>
    <s v="00013"/>
    <d v="2025-06-10T00:00:00"/>
    <s v="Cerrada"/>
    <s v="Jose"/>
    <s v="Aprobada"/>
    <m/>
    <m/>
    <m/>
    <m/>
    <x v="1"/>
    <s v="Reinsal"/>
    <s v="Ventas"/>
    <s v="Comercial"/>
    <s v="Liderazgo"/>
    <s v="Jefe de Ventas"/>
    <s v="Serpone"/>
    <m/>
    <x v="0"/>
    <x v="0"/>
    <m/>
    <m/>
    <m/>
    <s v="Reemplazo"/>
    <m/>
    <s v="Gabriel De Angelis"/>
    <m/>
    <s v="Inderminado "/>
    <m/>
    <m/>
    <s v="L a V de 9h a 18h"/>
    <s v="La Musa"/>
    <m/>
    <d v="2026-02-23T00:00:00"/>
    <m/>
    <m/>
    <s v="Juan Pablo Ratuszniak"/>
    <s v="1800000 Neto | Bruto 2.168.675"/>
    <s v="FUCO"/>
    <s v="Ok"/>
    <s v="SI"/>
    <s v="14/11 se reclama agenda a Damián por entrevistas, 20/11 Damián conoce 2 candidatos / 25-11 Damian selecciona un candidato. El candidato se baja por mejora salarial en su trabajo. Se baja del proceso. Reinicia la busqueda /Nuestra propuesta 2 millones en mano + comisiones."/>
  </r>
  <r>
    <s v="00014"/>
    <d v="2025-08-28T00:00:00"/>
    <s v="Cerrada"/>
    <s v="Jose"/>
    <s v="Aprobada"/>
    <m/>
    <m/>
    <m/>
    <m/>
    <x v="0"/>
    <s v="Cobensil"/>
    <s v="Cobranzas"/>
    <s v="Facturación y Cobranzas"/>
    <s v="Liderazgo"/>
    <s v="Supervisor/a de facturación y cobranzas"/>
    <s v="Rodríguez"/>
    <m/>
    <x v="0"/>
    <x v="0"/>
    <m/>
    <m/>
    <m/>
    <s v="Apertura de puesto"/>
    <m/>
    <m/>
    <m/>
    <s v="Inderminado "/>
    <m/>
    <m/>
    <s v="L a V de 09h a 18h"/>
    <s v="Ravignani"/>
    <d v="2025-12-16T00:00:00"/>
    <d v="2026-01-02T00:00:00"/>
    <m/>
    <m/>
    <s v="Paula García"/>
    <s v="1.800.000$ netos"/>
    <s v="FUCO"/>
    <m/>
    <m/>
    <s v="25/11/2025 se presenta una terna de 3 candidatos a Florencia Rodriguez, 05/12 conoció a Paula Garcia, 09/12 fue derivada a psico y preo"/>
  </r>
  <r>
    <s v="00015"/>
    <d v="2025-09-16T00:00:00"/>
    <s v="Cerrada"/>
    <s v="Jose"/>
    <s v="Cancelada"/>
    <m/>
    <m/>
    <m/>
    <m/>
    <x v="2"/>
    <m/>
    <s v="Mantenimiento"/>
    <s v="Servicios de Apoyo"/>
    <s v="Liderazgo"/>
    <s v="Jefe/a de Mantenimiento"/>
    <s v="Porretti"/>
    <m/>
    <x v="1"/>
    <x v="1"/>
    <m/>
    <s v="Alta"/>
    <s v="Baja "/>
    <s v="Apertura de puesto"/>
    <m/>
    <m/>
    <m/>
    <s v="Inderminado "/>
    <m/>
    <m/>
    <s v="Lunes a Viernes 9 a 18 hs"/>
    <m/>
    <m/>
    <m/>
    <m/>
    <m/>
    <m/>
    <s v="$ 3.253.012,05 bruto / $ 2.700.000 neto"/>
    <s v="FUCO"/>
    <m/>
    <m/>
    <s v="Nicolas Ruiz no apto Labo / 1 candidato en curso OK - banda 3 k brutos . Se presentará dos candidatos que no tienen formación requerida para contemplarlos en el análisis "/>
  </r>
  <r>
    <s v="00016"/>
    <d v="2025-10-01T00:00:00"/>
    <s v="Cerrada"/>
    <s v="Ema"/>
    <s v="Aprobada"/>
    <m/>
    <m/>
    <m/>
    <m/>
    <x v="3"/>
    <s v="CIRENDSA"/>
    <s v="Traumatología"/>
    <s v="Guardia"/>
    <s v="Asistencial/Médicos"/>
    <s v="MEDICO/A"/>
    <s v="Faiman"/>
    <m/>
    <x v="0"/>
    <x v="0"/>
    <m/>
    <m/>
    <m/>
    <s v="Reemplazo"/>
    <m/>
    <m/>
    <m/>
    <s v="Plazo Fijo"/>
    <m/>
    <m/>
    <s v="MARTES 8 A 20 HS"/>
    <s v="SANATORIO"/>
    <d v="2025-11-13T00:00:00"/>
    <d v="2026-01-06T00:00:00"/>
    <m/>
    <m/>
    <s v="SAMMY OSPINA"/>
    <s v="$977.367,60 bruto / $796.554,59 neto"/>
    <s v="AMAP"/>
    <s v="No"/>
    <m/>
    <s v="M8-20 - Esperando certificado especialista // 18-12 recibe el certificado de especialdiad // 22-12 contacto con Faiman para definir ingreso // 26-12 confirma su ingreso"/>
  </r>
  <r>
    <s v="00017"/>
    <d v="2025-10-13T00:00:00"/>
    <s v="Cerrada"/>
    <s v="Jose"/>
    <s v="Aprobada"/>
    <m/>
    <m/>
    <m/>
    <m/>
    <x v="3"/>
    <m/>
    <s v="Comercial "/>
    <s v="Administración y Finanzas"/>
    <s v="Liderazgo"/>
    <s v="Responsable de Ventas Institucionales"/>
    <s v="Poeta"/>
    <m/>
    <x v="0"/>
    <x v="0"/>
    <m/>
    <m/>
    <m/>
    <s v="Reemplazo"/>
    <m/>
    <s v="Leandro Gómez"/>
    <m/>
    <s v="Inderminado "/>
    <m/>
    <m/>
    <m/>
    <m/>
    <m/>
    <d v="2026-01-05T00:00:00"/>
    <m/>
    <m/>
    <s v="FLorencia Fernandez ( Promoción)"/>
    <m/>
    <m/>
    <m/>
    <m/>
    <s v="19/11 psicotecnico Florencia Fernández actual solaboradora del área / Buscar reemplazo: se presenta 25/11"/>
  </r>
  <r>
    <s v="00018"/>
    <d v="2025-10-15T00:00:00"/>
    <s v="Cerrada"/>
    <s v="Franco"/>
    <s v="Aprobada"/>
    <m/>
    <m/>
    <m/>
    <m/>
    <x v="3"/>
    <s v="Cirenda"/>
    <s v="Procesos Retributivos"/>
    <s v="Administración y Finanzas"/>
    <s v="Administrativo/a"/>
    <s v="FACTURISTA"/>
    <s v="Alvarez"/>
    <m/>
    <x v="0"/>
    <x v="0"/>
    <m/>
    <m/>
    <m/>
    <s v="Reemplazo"/>
    <m/>
    <m/>
    <m/>
    <s v="Eventual "/>
    <m/>
    <m/>
    <s v="Lunes a Viernes de 9 a 18hs"/>
    <s v="SANATORIO"/>
    <d v="2026-01-05T00:00:00"/>
    <d v="2026-01-12T00:00:00"/>
    <m/>
    <m/>
    <s v="Anabella Belen Pantano"/>
    <s v="$1.207.568,30  Bruto / $1.008.912,50 neto"/>
    <n v="122"/>
    <s v="No"/>
    <s v="No"/>
    <s v="Débitos"/>
  </r>
  <r>
    <s v="00019"/>
    <d v="2025-10-27T00:00:00"/>
    <s v="Cerrada"/>
    <s v="Franco"/>
    <s v="Aprobada"/>
    <m/>
    <m/>
    <m/>
    <m/>
    <x v="4"/>
    <s v="Desarollos en salud"/>
    <s v="Comercial "/>
    <s v="Administración y Finanzas"/>
    <s v="Administrativo/a"/>
    <s v="Administrativo/a comercial"/>
    <s v="Poeta"/>
    <m/>
    <x v="0"/>
    <x v="0"/>
    <m/>
    <m/>
    <m/>
    <s v="Reemplazo"/>
    <m/>
    <s v="Florencia Anahi Fernandez (157891)"/>
    <m/>
    <s v="Plazo Fijo"/>
    <m/>
    <m/>
    <s v="Lunes a Viernes de 9 a 18hs"/>
    <s v="La Musa y Sanatorio"/>
    <d v="2025-12-30T00:00:00"/>
    <d v="2026-01-12T00:00:00"/>
    <m/>
    <m/>
    <s v="Yamila Genaisir"/>
    <s v="$1.584.578,31 bruto / $1.315.200,00 Neto"/>
    <s v="FUCO"/>
    <s v="Si"/>
    <s v="No"/>
    <s v="Puesto: Administrativa de presupuestos. Reemplaza a Florencia por ascenso de esta misma."/>
  </r>
  <r>
    <s v="00020"/>
    <d v="2025-10-27T00:00:00"/>
    <s v="Cerrada"/>
    <s v="Franco"/>
    <s v="Aprobada"/>
    <m/>
    <m/>
    <m/>
    <m/>
    <x v="5"/>
    <s v="CMV"/>
    <s v="Administración y Finanzas"/>
    <s v="Administración y Finanzas"/>
    <s v="Administrativo/a"/>
    <s v="Administrativo/a Contable"/>
    <s v="Rea"/>
    <m/>
    <x v="0"/>
    <x v="0"/>
    <m/>
    <m/>
    <m/>
    <s v="Reemplazo"/>
    <m/>
    <s v="Agudelo"/>
    <m/>
    <s v="Inderminado "/>
    <m/>
    <m/>
    <s v="Lunes a Viernes de 9 a 18hs"/>
    <s v="CMV"/>
    <d v="2026-01-27T00:00:00"/>
    <d v="2026-02-03T00:00:00"/>
    <m/>
    <m/>
    <s v="Melanie Laffon"/>
    <s v="$1.300.000 neto"/>
    <s v="FUCO"/>
    <s v="No"/>
    <s v="No"/>
    <s v="20/11 - Eugenia conoce un candidato, el candidato cancela entrevista, 27/11 - Eugenia en conjunto con Rrhh conocera a 2 candidatos. 2 candidatas en preoc. Iba a ingresar el dia 6/1/25 una candidata pero no se presento. Ese mismo dia se retoma busqueda de perfiles. Se avanza con Melanie Laffon"/>
  </r>
  <r>
    <s v="00021"/>
    <d v="2025-11-01T00:00:00"/>
    <s v="Cerrada"/>
    <s v="Ema"/>
    <s v="Aprobada"/>
    <m/>
    <m/>
    <m/>
    <m/>
    <x v="3"/>
    <s v="CIRENDSA"/>
    <s v="Hotelería"/>
    <s v="Internación"/>
    <s v="Servicios Generales"/>
    <s v="MUCAMO/A"/>
    <s v="Valeria Dodero"/>
    <m/>
    <x v="0"/>
    <x v="0"/>
    <m/>
    <m/>
    <m/>
    <s v="Reemplazo"/>
    <m/>
    <s v="Libramento T"/>
    <m/>
    <s v="Eventual "/>
    <m/>
    <m/>
    <s v="14-22 HS"/>
    <s v="SANATORIO"/>
    <d v="2025-12-30T00:00:00"/>
    <d v="2026-01-06T00:00:00"/>
    <m/>
    <m/>
    <s v="LEONOR ORELLANA"/>
    <s v="$1.000.154,62  bruto /  $830.004,50 NETO"/>
    <s v="122/75"/>
    <s v="No"/>
    <m/>
    <s v="18-12 8 perfiles en preoc / 30-12 apto"/>
  </r>
  <r>
    <s v="00022"/>
    <d v="2025-11-01T00:00:00"/>
    <s v="Cerrada"/>
    <s v="Ema"/>
    <s v="Aprobada"/>
    <m/>
    <m/>
    <m/>
    <m/>
    <x v="3"/>
    <s v="CIRENDSA"/>
    <s v="Kinesiología"/>
    <s v="Terapia Intensiva"/>
    <s v="Asistencial/Otros"/>
    <s v="KINESIOLOGO/A"/>
    <s v="Laredo"/>
    <m/>
    <x v="0"/>
    <x v="0"/>
    <m/>
    <m/>
    <m/>
    <s v="Reemplazo"/>
    <m/>
    <s v="Menchon J"/>
    <m/>
    <s v="Plazo Fijo"/>
    <m/>
    <m/>
    <s v="Lunes a Viernes 14 a 20 hs, 1 Sábado y Domingo al mes 8 a 20 hs. Feriado rotativo"/>
    <s v="SANATORIO"/>
    <d v="2025-12-24T00:00:00"/>
    <d v="2026-01-06T00:00:00"/>
    <m/>
    <m/>
    <s v="ARACELI SARMIENTO"/>
    <s v="$1.962.564,65 bruto / $1.628.956,00 neto"/>
    <s v="122/75"/>
    <s v="No"/>
    <m/>
    <s v="12/11 Marcos T. - 13/11 18/11 Cvs no avanzan - 28/11 entrevista Lucas M decide no avanzar - 4/12 Patricio M no asiste // 12-12 entrevista Araceli / 18-12 Araceli en preo"/>
  </r>
  <r>
    <s v="00023"/>
    <d v="2025-11-01T00:00:00"/>
    <s v="Cerrada"/>
    <s v="Ema"/>
    <s v="Aprobada"/>
    <m/>
    <m/>
    <m/>
    <m/>
    <x v="3"/>
    <s v="CIRENDSA"/>
    <s v="Enfermeria"/>
    <s v="Terapia Intensiva"/>
    <s v="Asistencial/Enfermería"/>
    <s v="Enfermero/a de Terapia Intensiva"/>
    <s v="Alvez"/>
    <m/>
    <x v="0"/>
    <x v="0"/>
    <m/>
    <m/>
    <m/>
    <s v="Reemplazo"/>
    <m/>
    <s v=" Camino C "/>
    <m/>
    <s v="Eventual "/>
    <m/>
    <m/>
    <s v="22 A 6 HS"/>
    <s v="SANATORIO"/>
    <d v="2026-01-27T00:00:00"/>
    <d v="2026-02-02T00:00:00"/>
    <m/>
    <m/>
    <s v="STEPHANIE VERA                "/>
    <s v="$1.554.520,85  bruto /       $1.295.707,00 neto"/>
    <s v="122/75"/>
    <s v="No"/>
    <m/>
    <s v="11/11 entrevista. Perfiles sólo de CM. 20/11 entrevista. No gustaron los perfiles UTI/UCO - 03/12 entrevista. Ninguno con experiencia en UTI/UCO asistió. Agendando nueva entrevista / 6 candidatos en preocupacional "/>
  </r>
  <r>
    <s v="00024"/>
    <d v="2025-11-01T00:00:00"/>
    <s v="Cerrada"/>
    <s v="Ema"/>
    <s v="Aprobada"/>
    <m/>
    <m/>
    <m/>
    <m/>
    <x v="3"/>
    <s v="CIRENDSA"/>
    <s v="Enfermeria"/>
    <s v="Terapia Intensiva"/>
    <s v="Asistencial/Enfermería"/>
    <s v="Enfermero/a de Terapia Intensiva"/>
    <s v="Alvez"/>
    <m/>
    <x v="0"/>
    <x v="0"/>
    <m/>
    <m/>
    <m/>
    <s v="Reemplazo"/>
    <m/>
    <s v=" Ibarra Gilda"/>
    <m/>
    <s v="Eventual "/>
    <m/>
    <m/>
    <s v="22 A 6 HS"/>
    <s v="SANATORIO"/>
    <d v="2026-01-27T00:00:00"/>
    <d v="2026-02-02T00:00:00"/>
    <m/>
    <m/>
    <s v="MARIA GONZALEZ"/>
    <s v="$1.554.520,85  bruto /       $1.295.707,00 neto"/>
    <s v="122/75"/>
    <s v="No"/>
    <m/>
    <s v="11/11 entrevista. Perfiles sólo de CM. 20/11 entrevista. No gustaron los perfiles UTI/UCO - 03/12 entrevista. Ninguno con experiencia en UTI/UCO asistió. Agendando nueva entrevista / 6 candidatos en preocupacional "/>
  </r>
  <r>
    <s v="00025"/>
    <d v="2025-11-01T00:00:00"/>
    <s v="Cerrada"/>
    <s v="Fer"/>
    <s v="Aprobada"/>
    <m/>
    <m/>
    <m/>
    <m/>
    <x v="4"/>
    <s v="Cober"/>
    <s v="Gestión de las Personas"/>
    <s v="Administración y Finanzas"/>
    <s v="Analista"/>
    <s v="Liquidador/a de sueldos"/>
    <s v="Ezequiel"/>
    <m/>
    <x v="0"/>
    <x v="0"/>
    <m/>
    <m/>
    <m/>
    <s v="Apertura de puesto"/>
    <m/>
    <m/>
    <m/>
    <s v="Inderminado "/>
    <m/>
    <m/>
    <s v="Lunes a viernes de 8 a 17hs"/>
    <s v="La Musa"/>
    <d v="2026-01-05T00:00:00"/>
    <d v="2026-01-12T00:00:00"/>
    <m/>
    <m/>
    <s v="Eduardo Rodriguez Rosales"/>
    <s v="$2.000.000 neto"/>
    <s v="FUCO"/>
    <s v="Si"/>
    <s v="No"/>
    <s v="se conoció 1 candidato la primera semana de noviembre, se ajusta el perfil no jr, se sube la remuneración 1.7,  se entrevistaron 3 candidatos/ se vuelve a  ajusto el perfil diversidad de convios que venga de consultoras. Se derivo a consultora se ajusta salario a 2 M"/>
  </r>
  <r>
    <s v="00026"/>
    <d v="2025-11-11T00:00:00"/>
    <s v="Cerrada"/>
    <s v="Jose"/>
    <s v="Aprobada"/>
    <m/>
    <m/>
    <m/>
    <m/>
    <x v="6"/>
    <s v="Argil"/>
    <s v="Laboratorio"/>
    <s v="Operaciones"/>
    <s v="Asistencial/Otros"/>
    <s v="BIOQUIMICO/A"/>
    <s v="Mercedes"/>
    <m/>
    <x v="0"/>
    <x v="0"/>
    <m/>
    <m/>
    <m/>
    <s v="Reemplazo"/>
    <m/>
    <s v="Mercdes Miglianone"/>
    <m/>
    <s v="Plazo Fijo"/>
    <m/>
    <m/>
    <s v="L a V 12h a 18h, Sábado fléxibles"/>
    <s v="Argil"/>
    <d v="2025-12-26T00:00:00"/>
    <d v="2026-01-18T00:00:00"/>
    <m/>
    <m/>
    <s v="Valeria Cánovas"/>
    <s v="2.300.000$ Netos"/>
    <s v="FUCO"/>
    <m/>
    <m/>
    <s v="25/11 entrevistas, 12/12 Avanza a psico y preo Valeria Cánovas"/>
  </r>
  <r>
    <s v="00027"/>
    <d v="2025-11-12T00:00:00"/>
    <s v="Cerrada"/>
    <s v="Franco"/>
    <s v="Aprobada"/>
    <m/>
    <m/>
    <m/>
    <m/>
    <x v="4"/>
    <m/>
    <s v="Comunicación"/>
    <s v="Marketing"/>
    <s v="Analista"/>
    <s v="Analista de marketing"/>
    <s v="Pachelo"/>
    <m/>
    <x v="0"/>
    <x v="0"/>
    <m/>
    <m/>
    <m/>
    <s v="Reemplazo"/>
    <m/>
    <s v="Camila Osa"/>
    <m/>
    <s v="Inderminado "/>
    <m/>
    <m/>
    <s v="Lunes a Viernes de 9 a 18hs"/>
    <s v="Cramer"/>
    <d v="2026-02-10T00:00:00"/>
    <d v="2026-02-23T00:00:00"/>
    <m/>
    <m/>
    <s v="Candela Fernandez"/>
    <s v="$1.600.000 neto"/>
    <s v="FUCO"/>
    <s v="Si. (Pedido lunes 09/02/26)"/>
    <s v="No"/>
    <s v="18/11 - se envía 6 perfiles a Pachelo, se acuerda esperar el retorno de Lucía de vacaciones para avanzar con entrevista grupal, 4/12 entrevista con 3 candidatos - mencionan que les enviemos mas perfiles para tomar una decision, 9/12 se envian por mail 4 cv's para su analisis y poder coordinar entrevistas. 22/12 Se envia feedback a F.Pachelo de las entrevistas de 3 candidatos que nos gustaron luego de realizar entrevistas. / Pachelo selecciona a una candidata +  Tenemos 1 backup. Se avanza con Guadalupe Diaz Bo el 23-01-26, 28-01-26 se recibe preoc no apto. En paralelo, se envia a entrevista con F.Pachelo candidata de back up el dia 29-01-26. Se avanza con la candidata de back up Candela Fernandez a preoc."/>
  </r>
  <r>
    <s v="00028"/>
    <d v="2025-11-14T00:00:00"/>
    <s v="Cerrada"/>
    <s v="Ema"/>
    <s v="Aprobada"/>
    <m/>
    <m/>
    <m/>
    <m/>
    <x v="5"/>
    <s v="CMV"/>
    <s v="Administración"/>
    <s v="Administración"/>
    <s v="Especialista"/>
    <s v="CONTADOR/A"/>
    <s v="Colalillo"/>
    <m/>
    <x v="0"/>
    <x v="0"/>
    <m/>
    <m/>
    <m/>
    <s v="Reemplazo"/>
    <m/>
    <s v="Eugenia Rea"/>
    <s v="Desvinculación empresa"/>
    <s v="Inderminado "/>
    <m/>
    <m/>
    <s v="Lunes a Viernes de 9 a 18hs"/>
    <s v="La Musa"/>
    <d v="2026-02-27T00:00:00"/>
    <d v="2026-03-03T00:00:00"/>
    <m/>
    <m/>
    <s v="JESICA SEGOVIA"/>
    <s v="$ 3.132.530,12 bruto / $ 2.600.000 neto"/>
    <s v="FUCO"/>
    <s v="Si. (Pedido Viernes 27/2)"/>
    <s v="No"/>
    <s v="14/11 relevamiento perfil claudia / 25/11 lectura de cvs / 4/12 3 entrevistas RRHH / 05/12 perfiles enviados a Claudio / 12/12 Claudio solicita entrevistar - 15 a 19/12 Claudio vacaciones /  Claudio entrvistatará 2 candidatos ,semana del 26/01 - 02/02 preo y psico  / 18/02 - No se generó la vacante "/>
  </r>
  <r>
    <s v="00029"/>
    <d v="2025-11-14T00:00:00"/>
    <s v="Cerrada"/>
    <s v="Franco"/>
    <s v="Aprobada"/>
    <m/>
    <m/>
    <m/>
    <m/>
    <x v="3"/>
    <s v="Desarollos en salud"/>
    <s v="Sistemas"/>
    <s v="Sistemas"/>
    <s v="Pasante/Becario"/>
    <s v="Pasante"/>
    <s v="Gatica"/>
    <m/>
    <x v="0"/>
    <x v="0"/>
    <m/>
    <m/>
    <m/>
    <s v="Apertura de puesto"/>
    <m/>
    <m/>
    <m/>
    <s v="Inderminado "/>
    <m/>
    <m/>
    <s v="20hs semanales, con horario a coordinar"/>
    <s v="SANATORIO"/>
    <d v="2026-01-05T00:00:00"/>
    <d v="2026-01-19T00:00:00"/>
    <m/>
    <m/>
    <s v="Vicente D’Annunzio"/>
    <s v="$388.330,00 bruto"/>
    <m/>
    <s v="No"/>
    <s v="No"/>
    <m/>
  </r>
  <r>
    <s v="00030"/>
    <d v="2025-11-14T00:00:00"/>
    <s v="Cerrada"/>
    <s v="Franco"/>
    <s v="Aprobada"/>
    <m/>
    <m/>
    <m/>
    <m/>
    <x v="3"/>
    <m/>
    <s v="Sistemas"/>
    <s v="Servicios de Apoyo"/>
    <s v="Pasante/Becario"/>
    <s v="Pasante"/>
    <s v="Gatica"/>
    <m/>
    <x v="0"/>
    <x v="0"/>
    <m/>
    <m/>
    <m/>
    <s v="Apertura de puesto"/>
    <m/>
    <m/>
    <m/>
    <s v="Inderminado "/>
    <m/>
    <m/>
    <m/>
    <m/>
    <d v="2026-01-05T00:00:00"/>
    <d v="2026-01-19T00:00:00"/>
    <m/>
    <m/>
    <s v="VICENTE D´ANUNZIO"/>
    <m/>
    <m/>
    <m/>
    <m/>
    <s v="4/12 se entrevistan 2 candidatos pero el referente solicita conocer mas candidatos para tomar una decision, 16/12 se conoce un candidato, 18/12 se conoce otro candidato. 22/12 se envia a preoc un candidato"/>
  </r>
  <r>
    <s v="00031"/>
    <d v="2025-11-19T00:00:00"/>
    <s v="Cerrada"/>
    <s v="Ema"/>
    <s v="Aprobada"/>
    <m/>
    <m/>
    <m/>
    <m/>
    <x v="3"/>
    <s v="CIRENDSA"/>
    <s v="Admisión"/>
    <s v="Consultorios Externos"/>
    <s v="Administrativo/a"/>
    <s v="ADMISIONISTA"/>
    <s v="Gomez"/>
    <m/>
    <x v="0"/>
    <x v="0"/>
    <m/>
    <m/>
    <m/>
    <s v="Apertura de puesto"/>
    <m/>
    <s v="5° admin PB Laboratorio"/>
    <m/>
    <s v="Plazo Fijo"/>
    <m/>
    <m/>
    <s v="Lunes a Viernes 8 a 16 hs. Sabado por medio 7 a 15 hs"/>
    <s v="SANATORIO"/>
    <d v="2026-01-15T00:00:00"/>
    <d v="2026-01-23T00:00:00"/>
    <m/>
    <m/>
    <s v="VALENTINA RAMIREZ"/>
    <s v="$1.164.203,77 bruto /        $976.802,50 neto"/>
    <s v="122/75"/>
    <s v="No"/>
    <m/>
    <s v="05-12 Perfil entrevista ok 08-12 se baja del proceso. 11-12 entrevista. Sin exp real en labo. 17-12 1 perfil ok pero vive en Tigre. Evaluando otras opciones"/>
  </r>
  <r>
    <s v="00032"/>
    <d v="2025-11-24T00:00:00"/>
    <s v="Cerrada"/>
    <s v="Franco"/>
    <s v="Aprobada"/>
    <m/>
    <m/>
    <m/>
    <m/>
    <x v="3"/>
    <s v="CIRENDSA"/>
    <s v="Operaciones"/>
    <s v="Servicios de Apoyo"/>
    <s v="Servicios Generales"/>
    <s v="PEON"/>
    <s v="Cordoba"/>
    <m/>
    <x v="0"/>
    <x v="0"/>
    <m/>
    <m/>
    <m/>
    <s v="Reemplazo"/>
    <m/>
    <s v="Vacaciones"/>
    <m/>
    <s v="Eventual "/>
    <m/>
    <m/>
    <s v="ROTATIVO entre 6-14 hs/14-22 hs/22-6 hs segun cronograma"/>
    <s v="SANATORIO"/>
    <d v="2026-01-02T00:00:00"/>
    <d v="2026-01-12T00:00:00"/>
    <m/>
    <m/>
    <s v="MAXIMILIANO GUTIERREZ_x000a_NICOLAS MEDINA        _x000a_LIHUEL RODRIGUEZ"/>
    <s v="$1.000.254,62 bruto / $830.085,50 neto"/>
    <s v="122/75"/>
    <s v="No"/>
    <m/>
    <s v="12/12 6 perfiles citados, asisten 4 y 2 pasan a preo 17/12 asiste uno solo - Entrevista 22/12 // 1 PERFIL APTO 30-12"/>
  </r>
  <r>
    <s v="00033"/>
    <d v="2025-11-25T00:00:00"/>
    <s v="Cerrada"/>
    <s v="Jose"/>
    <s v="Aprobada"/>
    <m/>
    <m/>
    <m/>
    <m/>
    <x v="4"/>
    <s v="Healthnes"/>
    <s v="Gestión del Cambio"/>
    <s v="Administración"/>
    <s v="Analista"/>
    <s v="Analista de Procesos"/>
    <s v="Rodríguez M"/>
    <m/>
    <x v="0"/>
    <x v="0"/>
    <m/>
    <m/>
    <m/>
    <s v="Apertura de puesto"/>
    <m/>
    <m/>
    <m/>
    <s v="Inderminado "/>
    <m/>
    <m/>
    <s v="L a V 09h a 18h"/>
    <s v="Cramer"/>
    <d v="2026-01-13T00:00:00"/>
    <d v="2026-01-19T00:00:00"/>
    <m/>
    <m/>
    <s v="Romina Cecchin"/>
    <s v="2.500.000 $ NETOS"/>
    <s v="FUCO"/>
    <m/>
    <m/>
    <s v="jueves 11/12 María se reune con Emilio para definir quien avanza, 18/12 Hace psico Romina | 12/01 - 1  candidata en preocupacional, fecha de ingreso (probable) - semana 18/01"/>
  </r>
  <r>
    <s v="00034"/>
    <d v="2025-11-25T00:00:00"/>
    <s v="Cerrada"/>
    <s v="Ema"/>
    <s v="Aprobada"/>
    <m/>
    <m/>
    <m/>
    <m/>
    <x v="7"/>
    <s v="NOBEL"/>
    <s v="Administración y Finanzas"/>
    <s v="Farmacia Lamaité"/>
    <s v="Liderazgo"/>
    <s v="Supervisor/a de Farmacia"/>
    <s v="Emilio"/>
    <m/>
    <x v="0"/>
    <x v="0"/>
    <m/>
    <m/>
    <m/>
    <s v="Reemplazo"/>
    <m/>
    <s v="Iván Lara"/>
    <m/>
    <s v="Inderminado "/>
    <m/>
    <m/>
    <s v="48 hs semanales de Lunes a Sabado"/>
    <s v="LAMAITE"/>
    <d v="2026-01-13T00:00:00"/>
    <d v="2026-01-19T00:00:00"/>
    <m/>
    <m/>
    <s v="SERGIO BERNIGAUD"/>
    <s v="$2.000.000 neto"/>
    <s v="FUCO"/>
    <s v="Si"/>
    <m/>
    <s v="4/12 Entrevista - 5/12 entrevista - 13/12 entrevista Cecilia - 16/12 2 entrevistas - 18/12 entrevista Sergio + 1 perfil consultora conocido 19/12 - 23/12 entrevista Sergio"/>
  </r>
  <r>
    <s v="00035"/>
    <d v="2025-11-25T00:00:00"/>
    <s v="Cerrada"/>
    <s v="Fer"/>
    <s v="Aprobada"/>
    <m/>
    <m/>
    <m/>
    <m/>
    <x v="4"/>
    <s v="Healtnes"/>
    <s v="Contact Center"/>
    <s v="Servicios de Apoyo"/>
    <s v="Liderazgo"/>
    <s v="Coordinador/a de Contac Center"/>
    <s v="Nahir"/>
    <m/>
    <x v="0"/>
    <x v="0"/>
    <m/>
    <m/>
    <m/>
    <s v="Reemplazo"/>
    <m/>
    <s v="Agostina Zowkoski"/>
    <m/>
    <s v="Inderminado "/>
    <m/>
    <m/>
    <s v="Lunes a Viernes de 8 a 5hs"/>
    <s v="Maure"/>
    <d v="2026-01-06T00:00:00"/>
    <d v="2026-01-19T00:00:00"/>
    <m/>
    <m/>
    <s v="Agustina Campos"/>
    <s v="$2200000 neto"/>
    <s v="FUCO"/>
    <s v="Si"/>
    <s v="No"/>
    <s v="Se envió 12-12 2 perfiles para entrevista técnica, se entrevisto 17-12 Agustina Campos, pasa a psico el 19-12, se suien evalaundo candidatos"/>
  </r>
  <r>
    <s v="00036"/>
    <d v="2025-11-26T00:00:00"/>
    <s v="Cerrada"/>
    <s v="Ema"/>
    <s v="Aprobada"/>
    <m/>
    <m/>
    <m/>
    <m/>
    <x v="3"/>
    <m/>
    <s v="Enfermeria"/>
    <s v="Internación"/>
    <s v="Asistencial/Enfermería"/>
    <s v="Enfermero/a de Quimio"/>
    <s v="Alvez"/>
    <m/>
    <x v="0"/>
    <x v="0"/>
    <m/>
    <m/>
    <m/>
    <s v="Reemplazo"/>
    <m/>
    <s v="Mazars "/>
    <m/>
    <s v="Inderminado "/>
    <m/>
    <m/>
    <m/>
    <m/>
    <m/>
    <d v="2026-02-23T00:00:00"/>
    <m/>
    <m/>
    <s v="YAEL "/>
    <m/>
    <m/>
    <m/>
    <m/>
    <s v="L-V 12 a 18h / Pase interno de Piñeiro Y."/>
  </r>
  <r>
    <s v="00037"/>
    <d v="2025-11-30T00:00:00"/>
    <s v="Cerrada"/>
    <s v="Ema"/>
    <s v="Aprobada"/>
    <m/>
    <m/>
    <m/>
    <m/>
    <x v="3"/>
    <s v="CIRENDSA"/>
    <s v="Cirugía"/>
    <s v="Quirófano"/>
    <s v="Asistencial/Otros"/>
    <s v="INSTRUMENTADOR/A"/>
    <s v="Di Franco"/>
    <m/>
    <x v="0"/>
    <x v="0"/>
    <m/>
    <m/>
    <m/>
    <s v="Reemplazo"/>
    <m/>
    <s v="Otero R"/>
    <m/>
    <s v="Plazo Fijo"/>
    <m/>
    <m/>
    <s v="Lunes a Sabados 14 a 22 hs. Feriado rotativo"/>
    <s v="SANATORIO"/>
    <d v="2026-01-05T00:00:00"/>
    <d v="2026-01-19T00:00:00"/>
    <m/>
    <m/>
    <s v="AYELEN CARRUBBA"/>
    <s v="$1.478.071,38  bruto /       $1.230.851,50 neto"/>
    <s v="122/75"/>
    <s v="No"/>
    <m/>
    <s v="18-12 entrevistas 19-12 Entrevista Ale. Agendando preocupacional 23-12"/>
  </r>
  <r>
    <s v="00038"/>
    <d v="2025-12-03T00:00:00"/>
    <s v="Cerrada"/>
    <s v="Fer"/>
    <s v="Aprobada"/>
    <m/>
    <m/>
    <m/>
    <m/>
    <x v="4"/>
    <s v="Cober"/>
    <s v="Gestión de las Personas"/>
    <s v="Administración y Finanzas"/>
    <s v="Liderazgo"/>
    <s v="Coordinador/a de atracción de talento"/>
    <s v="Daniela"/>
    <m/>
    <x v="0"/>
    <x v="0"/>
    <m/>
    <m/>
    <m/>
    <s v="Reemplazo"/>
    <m/>
    <s v="Alejandro Alzate"/>
    <m/>
    <s v="Inderminado "/>
    <m/>
    <m/>
    <s v="Lunes a viernes de 8 a 17hs"/>
    <s v="La Musa"/>
    <d v="2025-12-29T00:00:00"/>
    <d v="2026-01-05T00:00:00"/>
    <m/>
    <m/>
    <s v="Juan Pablo Sanchez"/>
    <s v="2800000 bruto"/>
    <s v="FUCO"/>
    <s v="Si"/>
    <m/>
    <m/>
  </r>
  <r>
    <s v="00039"/>
    <d v="2025-12-03T00:00:00"/>
    <s v="Cerrada"/>
    <s v="Franco"/>
    <s v="Aprobada"/>
    <m/>
    <m/>
    <m/>
    <m/>
    <x v="0"/>
    <s v="Cobensil"/>
    <s v="Cobranzas"/>
    <s v="Administración y Finanzas"/>
    <s v="Comercial, ventas y cobranzas"/>
    <s v="Cobrador/a"/>
    <s v="Florencia Rodriguez"/>
    <m/>
    <x v="0"/>
    <x v="0"/>
    <m/>
    <m/>
    <m/>
    <s v="Reemplazo"/>
    <m/>
    <s v="Milenka Barsallo"/>
    <m/>
    <s v="Inderminado "/>
    <m/>
    <m/>
    <s v="Lunes a Viernes de 11 a 20hs. (Full time)"/>
    <s v="Ravignani"/>
    <d v="2025-12-29T00:00:00"/>
    <d v="2026-01-06T00:00:00"/>
    <m/>
    <m/>
    <s v="Romina Llanos"/>
    <s v="$1.264.540,33 bruto / $1.033.022,00 neto"/>
    <s v="130/75"/>
    <s v="No"/>
    <s v="No"/>
    <s v="12/12 - Se conocen 3 candidatos, se avanzan con los 3 a preoc."/>
  </r>
  <r>
    <s v="00040"/>
    <d v="2025-12-09T00:00:00"/>
    <s v="Cerrada"/>
    <s v="Ema"/>
    <s v="Aprobada"/>
    <m/>
    <m/>
    <m/>
    <m/>
    <x v="3"/>
    <s v="CIRENDSA"/>
    <s v="Cirugía"/>
    <s v="Quirófano"/>
    <s v="Asistencial/Otros"/>
    <s v="INSTRUMENTADOR/A"/>
    <s v="Di Franco"/>
    <m/>
    <x v="0"/>
    <x v="0"/>
    <m/>
    <m/>
    <m/>
    <s v="Reemplazo"/>
    <m/>
    <s v="Suarez C"/>
    <m/>
    <s v="Eventual "/>
    <m/>
    <m/>
    <s v="Lunes a Sábados 15 a 23 hs. Feriados rotativos."/>
    <s v="SANATORIO"/>
    <d v="2026-01-05T00:00:00"/>
    <d v="2026-01-12T00:00:00"/>
    <m/>
    <m/>
    <s v="YEISON TEJADA"/>
    <s v="$1.478.071,38  bruto        $1.230.851,50 neto"/>
    <s v="122/75"/>
    <s v="No"/>
    <m/>
    <m/>
  </r>
  <r>
    <s v="00041"/>
    <d v="2025-12-09T00:00:00"/>
    <s v="Cerrada"/>
    <s v="Franco"/>
    <s v="Aprobada"/>
    <m/>
    <s v="No"/>
    <m/>
    <m/>
    <x v="0"/>
    <s v="Cobensil SA"/>
    <s v="Ventas Retail"/>
    <s v="Comercial"/>
    <s v="Comercial, ventas y cobranzas"/>
    <s v="VENDEDOR/A"/>
    <s v="Serafin"/>
    <m/>
    <x v="0"/>
    <x v="0"/>
    <m/>
    <m/>
    <m/>
    <s v="Reemplazo"/>
    <m/>
    <s v="REA, ALEX JUAN ARIEL"/>
    <m/>
    <s v="Inderminado "/>
    <m/>
    <m/>
    <s v="Lunes a Viernes de 10 a 18hs"/>
    <s v="Sede de Vicente Lopez (Av. Maipu 1680) "/>
    <d v="2026-01-22T00:00:00"/>
    <d v="2026-02-03T00:00:00"/>
    <m/>
    <m/>
    <s v="Adrian Torosantucci"/>
    <s v="$1.271.329,36 bruto /  $1.036.688,00 neto"/>
    <s v="130/75"/>
    <s v="No"/>
    <s v="No"/>
    <m/>
  </r>
  <r>
    <s v="00042"/>
    <d v="2025-12-09T00:00:00"/>
    <s v="Cerrada"/>
    <s v="Ema"/>
    <s v="Aprobada"/>
    <m/>
    <m/>
    <m/>
    <m/>
    <x v="3"/>
    <s v="CIRENDSA"/>
    <s v="Hotelería"/>
    <s v="Internación"/>
    <s v="Servicios Generales"/>
    <s v="MUCAMO/A"/>
    <s v="Valeria Dodero"/>
    <m/>
    <x v="0"/>
    <x v="0"/>
    <m/>
    <m/>
    <m/>
    <s v="Reemplazo"/>
    <m/>
    <s v="Amarilla R"/>
    <m/>
    <s v="Eventual "/>
    <m/>
    <m/>
    <s v="14-22"/>
    <s v="SANATORIO"/>
    <d v="2026-01-06T00:00:00"/>
    <d v="2026-01-19T00:00:00"/>
    <m/>
    <m/>
    <s v="MARISA MARQUEZ"/>
    <s v="$1.000.154,62  BRUTO /       $830.004,50 NETO"/>
    <s v="122/75"/>
    <s v="No"/>
    <m/>
    <s v="17-12 entrevista 23-12 preoc // No firmó Anahi Gonzalez 6-1"/>
  </r>
  <r>
    <s v="00043"/>
    <d v="2025-12-09T00:00:00"/>
    <s v="Cerrada"/>
    <s v="Ema"/>
    <s v="Aprobada"/>
    <m/>
    <m/>
    <m/>
    <m/>
    <x v="3"/>
    <s v="CIRENDSA"/>
    <s v="Cirugía"/>
    <s v="Quirófano"/>
    <s v="Asistencial/Otros"/>
    <s v="INSTRUMENTADOR/A"/>
    <s v="Di Franco"/>
    <m/>
    <x v="0"/>
    <x v="0"/>
    <m/>
    <m/>
    <m/>
    <s v="Reemplazo"/>
    <m/>
    <s v="Karen G"/>
    <m/>
    <s v="Plazo Fijo"/>
    <m/>
    <m/>
    <s v="Lunes a Sábados 14 a 22 hs. Feriados rotativos."/>
    <s v="SANATORIO"/>
    <d v="2026-01-05T00:00:00"/>
    <d v="2026-01-12T00:00:00"/>
    <m/>
    <m/>
    <s v="CAROLINA CAMPOS"/>
    <s v="$1.478.071,38 bruto /         $1.230.851,50 neto"/>
    <s v="122/75"/>
    <s v="No"/>
    <m/>
    <s v="18/12  entrevista"/>
  </r>
  <r>
    <s v="00044"/>
    <d v="2025-12-11T00:00:00"/>
    <s v="Cerrada"/>
    <s v="Fer"/>
    <s v="Aprobada"/>
    <m/>
    <m/>
    <m/>
    <m/>
    <x v="4"/>
    <s v="Healtnes"/>
    <s v="Mantenimiento"/>
    <s v="Servicios de Apoyo"/>
    <s v="Especialista"/>
    <s v="ARQUITECTO/A"/>
    <s v="Emilio"/>
    <m/>
    <x v="0"/>
    <x v="0"/>
    <m/>
    <m/>
    <m/>
    <s v="Reemplazo"/>
    <m/>
    <s v="Nestor Toledo"/>
    <m/>
    <s v="Inderminado "/>
    <m/>
    <m/>
    <s v="a coordinar"/>
    <s v="Cramer"/>
    <d v="2026-02-09T00:00:00"/>
    <d v="2026-02-18T00:00:00"/>
    <m/>
    <m/>
    <s v="Luciana Bruno"/>
    <s v="$3000000 bruto"/>
    <s v="FUCO"/>
    <s v="Si"/>
    <s v="No"/>
    <s v="se publica ne linkedin 18-12, 30-12 se entrevistaron 2 perfiles, se pasa a Dani para 2da instancia Cecilia Ibarola y Luciana Bruno | 12/01 - pidiendo referencias. Pasa Luciana a preocupacional el 27-01"/>
  </r>
  <r>
    <s v="00045"/>
    <d v="2025-12-13T00:00:00"/>
    <s v="Cerrada"/>
    <s v="Ema"/>
    <s v="Aprobada"/>
    <m/>
    <m/>
    <m/>
    <m/>
    <x v="3"/>
    <s v="CIRENDSA"/>
    <s v="Enfermeria"/>
    <s v="Terapia Intensiva"/>
    <s v="Asistencial/Enfermería"/>
    <s v="Enfermero/a de Terapia Intensiva"/>
    <s v="Alvez"/>
    <m/>
    <x v="0"/>
    <x v="0"/>
    <m/>
    <m/>
    <m/>
    <s v="Reemplazo"/>
    <m/>
    <s v="Pistan D"/>
    <m/>
    <s v="Eventual "/>
    <m/>
    <m/>
    <s v="14 A 22 HS por vacaciones"/>
    <s v="SANATORIO"/>
    <d v="2026-01-27T00:00:00"/>
    <d v="2026-02-02T00:00:00"/>
    <m/>
    <m/>
    <s v="FISDERI VASQUEZ"/>
    <s v="$1.444.204,15 bruto /        $1.205.247,26 neto"/>
    <s v="122/75"/>
    <s v="No"/>
    <m/>
    <s v="Agendando una nueva entrevista"/>
  </r>
  <r>
    <s v="00046"/>
    <d v="2025-12-13T00:00:00"/>
    <s v="Cerrada"/>
    <s v="Ema"/>
    <s v="Aprobada"/>
    <m/>
    <m/>
    <m/>
    <m/>
    <x v="3"/>
    <s v="CIRENDSA"/>
    <s v="Enfermeria"/>
    <s v="Terapia Intensiva"/>
    <s v="Asistencial/Enfermería"/>
    <s v="Enfermero/a de Terapia Intensiva"/>
    <s v="Alvez"/>
    <m/>
    <x v="0"/>
    <x v="0"/>
    <m/>
    <m/>
    <m/>
    <s v="Reemplazo"/>
    <m/>
    <s v="Loza J"/>
    <m/>
    <s v="Eventual "/>
    <m/>
    <m/>
    <s v="14 A 22 HS por vacaciones"/>
    <s v="SANATORIO"/>
    <d v="2026-01-27T00:00:00"/>
    <d v="2026-02-02T00:00:00"/>
    <m/>
    <m/>
    <s v="GERALDINE CASTRO"/>
    <s v="$1.444.204,15 bruto /        $1.205.247,26 neto"/>
    <s v="122/75"/>
    <s v="No"/>
    <m/>
    <s v="Agendando una nueva entrevista"/>
  </r>
  <r>
    <s v="00047"/>
    <d v="2025-12-15T00:00:00"/>
    <s v="Cerrada"/>
    <s v="Franco"/>
    <s v="Aprobada"/>
    <m/>
    <m/>
    <m/>
    <m/>
    <x v="3"/>
    <s v="CIRENDSA"/>
    <s v="Mantenimiento"/>
    <s v="Servicios de Apoyo"/>
    <s v="Mantenimiento y obras"/>
    <s v="OFICIAL DE MANTENIMIENTO"/>
    <s v="Erika"/>
    <m/>
    <x v="0"/>
    <x v="0"/>
    <m/>
    <m/>
    <m/>
    <s v="Reemplazo"/>
    <m/>
    <s v="ROMIG, JAVIER ALEJANDRO        "/>
    <m/>
    <s v="Plazo Fijo"/>
    <m/>
    <m/>
    <s v="Lunes a Sabados de 6 a 14hs"/>
    <s v="SANATORIO"/>
    <d v="2025-12-29T00:00:00"/>
    <d v="2026-01-12T00:00:00"/>
    <m/>
    <m/>
    <s v="Sergio Leguizamon"/>
    <s v="$1.169.901,95 bruto / $966.949,00 neto"/>
    <s v="122/75"/>
    <s v="No"/>
    <s v="No"/>
    <s v="18/12 Entrevista en conjunto con Erika, se conocen 3 candidatos, avanzan 2 a preoc."/>
  </r>
  <r>
    <s v="00048"/>
    <d v="2025-12-15T00:00:00"/>
    <s v="Cerrada"/>
    <s v="Franco"/>
    <s v="Aprobada"/>
    <m/>
    <m/>
    <m/>
    <m/>
    <x v="3"/>
    <s v="CIRENDSA"/>
    <s v="Mantenimiento"/>
    <s v="Servicios de Apoyo"/>
    <s v="Mantenimiento y obras"/>
    <s v="OFICIAL DE MANTENIMIENTO"/>
    <s v="Erika"/>
    <m/>
    <x v="0"/>
    <x v="0"/>
    <m/>
    <m/>
    <m/>
    <s v="Reemplazo"/>
    <m/>
    <m/>
    <m/>
    <s v="Plazo Fijo"/>
    <m/>
    <m/>
    <s v="Lunes a Sabados de 6 a 14hs"/>
    <s v="SANATORIO"/>
    <d v="2026-01-06T00:00:00"/>
    <d v="2026-01-12T00:00:00"/>
    <m/>
    <m/>
    <s v="Braian Miguel Rojas"/>
    <s v="$1.169.901,95 bruto / $966.949,00 neto"/>
    <s v="122/75"/>
    <s v="No"/>
    <s v="No"/>
    <s v="18/12 Entrevista en conjunto con Erika, se conocen 3 candidatos, avanzan 2 a preoc. / inicialmente la búsqueda se genera por Gustavo Razzetto , ingresa Brian Miguel quién renuncia a los 2 días ."/>
  </r>
  <r>
    <s v="00049"/>
    <d v="2025-12-16T00:00:00"/>
    <s v="Cerrada"/>
    <s v="Ema"/>
    <s v="Aprobada"/>
    <m/>
    <m/>
    <m/>
    <m/>
    <x v="3"/>
    <s v="CIRENDSA"/>
    <s v="Enfermeria"/>
    <s v="Terapia Intensiva"/>
    <s v="Asistencial/Enfermería"/>
    <s v="Enfermero/a de Terapia Intensiva"/>
    <s v="Alvez"/>
    <m/>
    <x v="0"/>
    <x v="0"/>
    <m/>
    <s v="Baja"/>
    <s v="Media"/>
    <s v="Reemplazo"/>
    <m/>
    <s v="Roque J"/>
    <m/>
    <s v="Inderminado "/>
    <m/>
    <m/>
    <s v="14-22"/>
    <s v="SANATORIO"/>
    <d v="2026-03-11T00:00:00"/>
    <d v="2026-03-23T00:00:00"/>
    <m/>
    <m/>
    <s v="WENDY ASTORGA"/>
    <s v=" $1.444.204,15 bruto /_x0009_ $1.205.247,26 neto"/>
    <s v="122/75"/>
    <s v="No"/>
    <s v="No"/>
    <m/>
  </r>
  <r>
    <s v="00050"/>
    <d v="2025-12-18T00:00:00"/>
    <s v="Cerrada"/>
    <s v="Ema"/>
    <s v="Aprobada"/>
    <m/>
    <m/>
    <m/>
    <m/>
    <x v="3"/>
    <s v="CIRENDSA"/>
    <s v="Hotelería"/>
    <s v="Internación"/>
    <s v="Servicios Generales"/>
    <s v="MUCAMO/A"/>
    <s v="Valeria Dodero"/>
    <m/>
    <x v="0"/>
    <x v="0"/>
    <m/>
    <m/>
    <m/>
    <s v="Reemplazo"/>
    <m/>
    <s v="Segovia M"/>
    <m/>
    <s v="Plazo Fijo"/>
    <m/>
    <m/>
    <s v="14-22"/>
    <s v="SANATORIO"/>
    <d v="2026-01-05T00:00:00"/>
    <d v="2026-01-06T00:00:00"/>
    <m/>
    <m/>
    <s v="NILDA SANTACRUZ"/>
    <s v="$1.000.154,62  BRUTO /  $830.004,50 NETO"/>
    <s v="122/75"/>
    <s v="No"/>
    <m/>
    <s v="17-12 entrevista 23-12 preoc"/>
  </r>
  <r>
    <s v="00051"/>
    <d v="2025-12-18T00:00:00"/>
    <s v="Cerrada"/>
    <s v="Ema"/>
    <s v="Aprobada"/>
    <m/>
    <m/>
    <m/>
    <m/>
    <x v="3"/>
    <s v="CIRENDSA"/>
    <s v="Hotelería"/>
    <s v="Internación"/>
    <s v="Servicios Generales"/>
    <s v="MUCAMO/A"/>
    <s v="Valeria Dodero"/>
    <m/>
    <x v="0"/>
    <x v="0"/>
    <m/>
    <m/>
    <m/>
    <s v="Reemplazo"/>
    <m/>
    <s v="Ledesma M"/>
    <m/>
    <s v="Plazo Fijo"/>
    <m/>
    <m/>
    <s v="14-22"/>
    <s v="SANATORIO"/>
    <d v="2026-01-05T00:00:00"/>
    <d v="2026-01-06T00:00:00"/>
    <m/>
    <m/>
    <s v="ANA ODRIOZOLA"/>
    <s v="$1.000.154,62  BRUTO /  $830.004,50 NETO"/>
    <s v="122/75"/>
    <s v="No"/>
    <m/>
    <s v="17-12 entrevista 23-12 preoc"/>
  </r>
  <r>
    <s v="00052"/>
    <d v="2025-12-19T00:00:00"/>
    <s v="Cerrada"/>
    <s v="Ema"/>
    <s v="Aprobada"/>
    <m/>
    <m/>
    <m/>
    <m/>
    <x v="3"/>
    <s v="CIRENDSA"/>
    <s v="Enfermeria"/>
    <s v="Internación"/>
    <s v="Asistencial/Enfermería"/>
    <s v="Enfermero/a de Internación"/>
    <s v="Alvez"/>
    <m/>
    <x v="0"/>
    <x v="0"/>
    <m/>
    <m/>
    <m/>
    <s v="Reemplazo"/>
    <m/>
    <s v="Lic prolongada Montaño K"/>
    <m/>
    <s v="Eventual "/>
    <m/>
    <m/>
    <s v="14 A 22 HS por cobertura licencia 129016 HERBAS BELEN                "/>
    <s v="SANATORIO"/>
    <d v="2026-01-15T00:00:00"/>
    <d v="2026-02-02T00:00:00"/>
    <m/>
    <m/>
    <s v="BRIGHIT FLORES"/>
    <s v="$1.223.571,44 bruto /         $1.024.328,50 neto"/>
    <s v="122/75"/>
    <s v="No"/>
    <m/>
    <m/>
  </r>
  <r>
    <s v="00053"/>
    <d v="2025-12-20T00:00:00"/>
    <s v="Cerrada"/>
    <s v="Franco"/>
    <s v="Aprobada"/>
    <m/>
    <m/>
    <m/>
    <m/>
    <x v="3"/>
    <s v="Desarrollos en salud"/>
    <s v="Obras"/>
    <s v="Servicios de Apoyo"/>
    <s v="Mantenimiento y obras"/>
    <s v="Albañil"/>
    <s v="Tejedor"/>
    <m/>
    <x v="0"/>
    <x v="0"/>
    <m/>
    <m/>
    <m/>
    <s v="Reemplazo"/>
    <m/>
    <s v="162934 - Duarte Oscar"/>
    <m/>
    <s v="Inderminado "/>
    <m/>
    <m/>
    <s v="Lunes a viernes de 8 a 17hs"/>
    <s v="SANATORIO"/>
    <d v="2026-01-08T00:00:00"/>
    <d v="2026-01-19T00:00:00"/>
    <m/>
    <m/>
    <s v="Cristian Aguilar"/>
    <s v=" $1.169.647,23 bruto / $979.266,50 neto"/>
    <s v="122/75"/>
    <s v="No"/>
    <s v="No"/>
    <s v="Entrevista 29/12, se envian a preoc a 2 candidatos"/>
  </r>
  <r>
    <s v="00054"/>
    <d v="2025-12-20T00:00:00"/>
    <s v="Cerrada"/>
    <s v="Ema"/>
    <s v="Aprobada"/>
    <m/>
    <m/>
    <m/>
    <m/>
    <x v="3"/>
    <s v="CIRENDSA"/>
    <s v="Enfermeria"/>
    <s v="Internación"/>
    <s v="Asistencial/Enfermería"/>
    <s v="Enfermero/a de Internación"/>
    <s v="Alvez"/>
    <m/>
    <x v="0"/>
    <x v="0"/>
    <m/>
    <m/>
    <m/>
    <s v="Reemplazo"/>
    <m/>
    <s v="Lic prolongada HerBas B"/>
    <m/>
    <s v="Eventual "/>
    <m/>
    <m/>
    <s v="14 A 22 HS por cobertura licencia 130805 MONTAÑO KAREN                "/>
    <s v="SANATORIO"/>
    <d v="2026-01-15T00:00:00"/>
    <d v="2026-02-02T00:00:00"/>
    <m/>
    <m/>
    <s v="MARIANA CRISTALDO"/>
    <s v="$1.223.571,44 bruto /         $1.024.328,50 neto"/>
    <s v="122/75"/>
    <s v="No"/>
    <m/>
    <m/>
  </r>
  <r>
    <s v="00055"/>
    <d v="2025-12-22T00:00:00"/>
    <s v="Cerrada"/>
    <s v="Ema"/>
    <s v="Aprobada"/>
    <m/>
    <m/>
    <m/>
    <m/>
    <x v="3"/>
    <s v="CIRENDSA"/>
    <s v="Enfermeria"/>
    <s v="Terapia Intensiva"/>
    <s v="Asistencial/Enfermería"/>
    <s v="Enfermero/a de Terapia Intensiva"/>
    <s v="Alvez"/>
    <m/>
    <x v="0"/>
    <x v="0"/>
    <m/>
    <m/>
    <m/>
    <s v="Reemplazo"/>
    <m/>
    <s v="Vuelta Castellon Bassa a CM"/>
    <m/>
    <s v="Plazo Fijo"/>
    <m/>
    <m/>
    <s v="22 A 6 HS"/>
    <s v="SANATORIO"/>
    <d v="2026-02-19T00:00:00"/>
    <d v="2026-02-23T00:00:00"/>
    <m/>
    <m/>
    <s v="MARCOS IBARRA"/>
    <s v="$1.554.520,85 bruto /         $1.295.707,00 neto"/>
    <s v="122/75"/>
    <s v="No"/>
    <m/>
    <s v="CC TN"/>
  </r>
  <r>
    <s v="00056"/>
    <d v="2025-12-22T00:00:00"/>
    <s v="Cerrada"/>
    <s v="Ema"/>
    <s v="Aprobada"/>
    <m/>
    <m/>
    <m/>
    <m/>
    <x v="3"/>
    <s v="CIRENDSA"/>
    <s v="Enfermeria"/>
    <s v="Quirófano"/>
    <s v="Asistencial/Enfermería"/>
    <s v="Enfermero/a de Endoscopia"/>
    <s v="Alvez"/>
    <m/>
    <x v="0"/>
    <x v="0"/>
    <m/>
    <m/>
    <m/>
    <s v="Reemplazo"/>
    <m/>
    <s v="Piñeiro Y"/>
    <m/>
    <s v="Eventual "/>
    <m/>
    <m/>
    <s v="Lunes a Sábados 15 a 23 hs. Feriados a coordinar."/>
    <s v="SANATORIO"/>
    <d v="2026-01-27T00:00:00"/>
    <d v="2026-02-02T00:00:00"/>
    <m/>
    <m/>
    <s v="JUDITH CHAPOÑAN "/>
    <s v="$1.481.645,21 bruto /        $1.235.949,00 neto"/>
    <s v="122/75"/>
    <s v="No"/>
    <m/>
    <m/>
  </r>
  <r>
    <s v="00057"/>
    <d v="2025-12-22T00:00:00"/>
    <s v="Cerrada"/>
    <s v="Franco"/>
    <s v="Aprobada"/>
    <m/>
    <s v="No"/>
    <m/>
    <m/>
    <x v="0"/>
    <s v="Cobensil SA"/>
    <s v="Ventas Retail"/>
    <s v="Comercial"/>
    <s v="Comercial, ventas y cobranzas"/>
    <s v="VENDEDOR/A"/>
    <s v="Serafin"/>
    <m/>
    <x v="0"/>
    <x v="0"/>
    <m/>
    <m/>
    <m/>
    <s v="Reemplazo"/>
    <m/>
    <s v="CASTRO, SANDRA FLORENCIA"/>
    <m/>
    <s v="Inderminado "/>
    <m/>
    <m/>
    <s v="Lunes a Viernes de 10 a 18hs"/>
    <s v="Sede Colegiales (Lacroze 3257)"/>
    <d v="2026-01-22T00:00:00"/>
    <d v="2026-02-03T00:00:00"/>
    <m/>
    <m/>
    <s v="Virginia Ivon Romero"/>
    <s v="$1.271.329,36 bruto /  $1.036.688,00 neto"/>
    <s v="130/75"/>
    <s v="No"/>
    <s v="No"/>
    <m/>
  </r>
  <r>
    <s v="00058"/>
    <d v="2025-12-22T00:00:00"/>
    <s v="Cerrada"/>
    <s v="Juanpi"/>
    <s v="Aprobada"/>
    <m/>
    <s v="No"/>
    <s v="No"/>
    <m/>
    <x v="0"/>
    <s v="Cobensil SA"/>
    <s v="Business Inteligence"/>
    <s v="Administración"/>
    <s v="Analista IT"/>
    <s v="Analista Business Analytics"/>
    <s v="Ignacio Jaregui"/>
    <m/>
    <x v="0"/>
    <x v="0"/>
    <m/>
    <s v="Alta"/>
    <s v="Alta "/>
    <s v="Reemplazo"/>
    <m/>
    <s v="Leandro Carbo"/>
    <m/>
    <s v="Indeterminado "/>
    <m/>
    <m/>
    <s v="Lunes a Viernes de  8 a 17hs / 9 a 18 hs"/>
    <s v="Ravignani"/>
    <d v="2026-04-08T00:00:00"/>
    <d v="2026-04-20T00:00:00"/>
    <s v="Externa"/>
    <s v="Consultora"/>
    <s v="Rafael Valera"/>
    <s v="$2,800,000 ( Netos )"/>
    <s v="FUCO"/>
    <s v="Si"/>
    <s v="No"/>
    <s v="18-12 se estan validando perfiles, se envio a Nacho 16-12 un perfil entrevistará CArbo en 2da fase 22-12, se ajusta a analista el 17-12, la candidatsa Raineth no cum'ple con el perfil técnico, se continua la busqueda. Se presentaron dos perfiles a Carbó Gianluca Mazzocchi y LAura ambos pasan a netrevista con Nacho, el luens 12 se envía resumen. Pasa a nueva fase con entrevistas validación tecnica con Paula Bria, con Raineth, Gianlucca, Adriel, Catriel 19-01. Pasa a preo Gianluca el martes 24-02."/>
  </r>
  <r>
    <s v="00059"/>
    <d v="2025-12-23T00:00:00"/>
    <s v="Cerrada"/>
    <s v="Ema"/>
    <s v="Aprobada"/>
    <m/>
    <m/>
    <m/>
    <m/>
    <x v="3"/>
    <s v="CIRENDSA"/>
    <s v="Hotelería"/>
    <s v="Internación"/>
    <s v="Servicios Generales"/>
    <s v="MUCAMO/A"/>
    <s v="Valeria Dodero"/>
    <m/>
    <x v="0"/>
    <x v="0"/>
    <m/>
    <m/>
    <m/>
    <s v="Reemplazo"/>
    <m/>
    <s v="Monteros C"/>
    <m/>
    <s v="Plazo Fijo"/>
    <m/>
    <m/>
    <s v="14-22"/>
    <s v="SANATORIO"/>
    <d v="2026-01-15T00:00:00"/>
    <d v="2026-01-23T00:00:00"/>
    <m/>
    <m/>
    <s v="JESICA SORIA"/>
    <s v="$1.052.963,43  bruto /       $875.067,00 neto"/>
    <s v="122/75"/>
    <s v="No"/>
    <m/>
    <m/>
  </r>
  <r>
    <s v="00060"/>
    <d v="2025-12-26T00:00:00"/>
    <s v="Cerrada"/>
    <s v="Ema"/>
    <s v="Aprobada"/>
    <m/>
    <m/>
    <m/>
    <m/>
    <x v="3"/>
    <s v="CIRENDSA"/>
    <s v="Enfermeria"/>
    <s v="Servicios de Apoyo"/>
    <s v="Servicios Generales"/>
    <s v="CAMILLERO/A"/>
    <s v="Alvez"/>
    <m/>
    <x v="0"/>
    <x v="0"/>
    <m/>
    <m/>
    <m/>
    <s v="Reemplazo"/>
    <m/>
    <s v="Busilachi J"/>
    <m/>
    <s v="Eventual "/>
    <m/>
    <m/>
    <s v="ROTATIVO entre los turnos 6-14 hs, 14-22 hs, 22-6 hs según cronograma"/>
    <s v="SANATORIO"/>
    <d v="2025-12-30T00:00:00"/>
    <d v="2026-01-06T00:00:00"/>
    <m/>
    <m/>
    <s v="ALEXIS CARDOSO"/>
    <s v="$1.079.520,88  bruto / $906.107,00 neto"/>
    <s v="122/75"/>
    <s v="No"/>
    <m/>
    <s v="15-12 entrevista / 19-12 preo"/>
  </r>
  <r>
    <s v="00061"/>
    <d v="2025-12-26T00:00:00"/>
    <s v="Cerrada"/>
    <s v="Ema"/>
    <s v="Aprobada"/>
    <m/>
    <m/>
    <m/>
    <m/>
    <x v="3"/>
    <s v="CIRENDSA"/>
    <s v="Enfermeria"/>
    <s v="Servicios de Apoyo"/>
    <s v="Servicios Generales"/>
    <s v="CAMILLERO/A"/>
    <s v="Alvez"/>
    <m/>
    <x v="0"/>
    <x v="0"/>
    <m/>
    <m/>
    <m/>
    <s v="Reemplazo"/>
    <m/>
    <s v="Paz S"/>
    <m/>
    <s v="Plazo Fijo"/>
    <m/>
    <m/>
    <s v="14-22 hs - 1 franco semanal a definir en el área."/>
    <s v="SANATORIO"/>
    <d v="2026-01-13T00:00:00"/>
    <d v="2026-01-19T00:00:00"/>
    <m/>
    <m/>
    <s v="ORTEGA JOHN "/>
    <s v="$1.195.063,16 bruto /        $1.000.952,00 neto"/>
    <s v="122/75"/>
    <s v="No"/>
    <m/>
    <s v="16-12 entrevista / 19-12 preoc / 30-12 no apto por labo, se retoma"/>
  </r>
  <r>
    <s v="00062"/>
    <d v="2025-12-26T00:00:00"/>
    <s v="Cerrada"/>
    <s v="Ema"/>
    <s v="Aprobada"/>
    <m/>
    <m/>
    <m/>
    <m/>
    <x v="3"/>
    <s v="CIRENDSA"/>
    <s v="Hotelería"/>
    <s v="Internación"/>
    <s v="Servicios Generales"/>
    <s v="MUCAMO/A"/>
    <s v="Valeria Dodero"/>
    <m/>
    <x v="0"/>
    <x v="0"/>
    <m/>
    <m/>
    <m/>
    <s v="Reemplazo"/>
    <m/>
    <s v="Avellaneda Y"/>
    <m/>
    <s v="Plazo Fijo"/>
    <m/>
    <m/>
    <s v="14-22"/>
    <s v="SANATORIO"/>
    <d v="2026-01-06T00:00:00"/>
    <d v="2026-01-19T00:00:00"/>
    <m/>
    <m/>
    <s v="JORGELINA FLORES"/>
    <s v="$1.000.154,62  BRUTO /       $830.004,50 NETO"/>
    <s v="122/75"/>
    <s v="No"/>
    <m/>
    <s v="17-12 entrevista 23-12 preoc"/>
  </r>
  <r>
    <s v="00063"/>
    <d v="2025-12-26T00:00:00"/>
    <s v="Cerrada"/>
    <s v="Ema"/>
    <s v="Aprobada"/>
    <m/>
    <m/>
    <m/>
    <m/>
    <x v="3"/>
    <s v="CIRENDSA"/>
    <s v="Admisión"/>
    <s v="Consultorios Externos"/>
    <s v="Administrativo/a"/>
    <s v="ADMISIONISTA"/>
    <s v="Gomez"/>
    <m/>
    <x v="0"/>
    <x v="0"/>
    <m/>
    <m/>
    <m/>
    <s v="Reemplazo"/>
    <m/>
    <s v="Montero M"/>
    <m/>
    <s v="Plazo Fijo"/>
    <m/>
    <m/>
    <s v="Lunes a Viernes 14 a 20 hs, Sábado por medio 7 a 13 hs"/>
    <s v="SANATORIO"/>
    <d v="2026-01-05T00:00:00"/>
    <d v="2026-01-12T00:00:00"/>
    <m/>
    <m/>
    <s v="AGUSTINA GIURICH"/>
    <s v="$801.551,37 bruto /        $662.168,00 neto"/>
    <s v="122/75"/>
    <s v="No"/>
    <m/>
    <s v="17-12 entrevista 19-12 preoc"/>
  </r>
  <r>
    <s v="00064"/>
    <d v="2025-12-26T00:00:00"/>
    <s v="Cerrada"/>
    <s v="Ema"/>
    <s v="Aprobada"/>
    <m/>
    <m/>
    <m/>
    <m/>
    <x v="3"/>
    <s v="CIRENDSA"/>
    <s v="Admisión"/>
    <s v="Consultorios Externos"/>
    <s v="Administrativo/a"/>
    <s v="ADMISIONISTA"/>
    <s v="Gomez"/>
    <m/>
    <x v="0"/>
    <x v="0"/>
    <m/>
    <m/>
    <m/>
    <s v="Reemplazo"/>
    <m/>
    <s v="Lanza Z"/>
    <m/>
    <s v="Plazo Fijo"/>
    <m/>
    <m/>
    <s v="Lunes a Viernes 14 a 20 hs, Sábado por medio 7 a 13 hs"/>
    <s v="SANATORIO"/>
    <d v="2026-01-05T00:00:00"/>
    <d v="2026-01-12T00:00:00"/>
    <m/>
    <m/>
    <s v="ROMINA RONCORONI"/>
    <s v="$801.551,37 bruto /        $662.168,00 neto"/>
    <s v="122/75"/>
    <s v="No"/>
    <m/>
    <s v="17-12 entrevista 23-12 preoc"/>
  </r>
  <r>
    <s v="00065"/>
    <d v="2025-12-26T00:00:00"/>
    <s v="Cerrada"/>
    <s v="Ema"/>
    <s v="Aprobada"/>
    <m/>
    <m/>
    <m/>
    <m/>
    <x v="3"/>
    <s v="CIRENDSA"/>
    <s v="Enfermeria"/>
    <s v="Terapia Intensiva"/>
    <s v="Asistencial/Enfermería"/>
    <s v="Enfermero/a de Terapia Intensiva"/>
    <s v="Alvez"/>
    <m/>
    <x v="0"/>
    <x v="0"/>
    <m/>
    <m/>
    <m/>
    <s v="Reemplazo"/>
    <m/>
    <s v="Camino C"/>
    <m/>
    <s v="Eventual "/>
    <m/>
    <m/>
    <s v="22 A 6 HS"/>
    <s v="SANATORIO"/>
    <d v="2026-02-05T00:00:00"/>
    <d v="2026-02-09T00:00:00"/>
    <m/>
    <m/>
    <s v="EDITH LLANES"/>
    <s v="$1.554.520,85  bruto /       $1.295.707,00 neto"/>
    <s v="122/75"/>
    <s v="No"/>
    <m/>
    <m/>
  </r>
  <r>
    <s v="00066"/>
    <d v="2025-12-26T00:00:00"/>
    <s v="Cerrada"/>
    <s v="Jose"/>
    <s v="Aprobada"/>
    <m/>
    <m/>
    <m/>
    <m/>
    <x v="3"/>
    <m/>
    <s v="Sistemas"/>
    <s v="Sistemas"/>
    <s v="Analista IT"/>
    <s v="Programador Java"/>
    <s v="David"/>
    <m/>
    <x v="0"/>
    <x v="0"/>
    <m/>
    <s v="Alta"/>
    <s v="Media"/>
    <s v="Reemplazo"/>
    <m/>
    <s v="Mantilla R"/>
    <m/>
    <s v="Indeterminado "/>
    <m/>
    <m/>
    <s v="L a V 09h a 18h"/>
    <s v="La Musa"/>
    <d v="2026-04-10T00:00:00"/>
    <d v="2026-04-20T00:00:00"/>
    <s v="Externa"/>
    <s v="Linkedln "/>
    <s v="Gian Franco Stigliano"/>
    <s v="3253012,04 bruto"/>
    <s v="FUCO"/>
    <s v="Ok"/>
    <s v="No"/>
    <m/>
  </r>
  <r>
    <s v="00067"/>
    <d v="2025-12-28T00:00:00"/>
    <s v="Cerrada"/>
    <s v="Ema"/>
    <s v="Aprobada"/>
    <m/>
    <m/>
    <m/>
    <m/>
    <x v="3"/>
    <s v="CIRENDSA"/>
    <s v="Enfermeria"/>
    <s v="Internación"/>
    <s v="Asistencial/Enfermería"/>
    <s v="Enfermero/a de Internación"/>
    <s v="Alvez"/>
    <m/>
    <x v="0"/>
    <x v="0"/>
    <m/>
    <s v="Baja"/>
    <s v="Media"/>
    <s v="Reemplazo"/>
    <m/>
    <s v="Aguilar M"/>
    <m/>
    <s v="Plazo Fijo"/>
    <m/>
    <m/>
    <s v="14 A 22 HS"/>
    <s v="SANATORIO"/>
    <d v="2026-03-03T00:00:00"/>
    <d v="2026-03-09T00:00:00"/>
    <m/>
    <m/>
    <s v="JOSE ROCHA"/>
    <s v="$1.223.571,44  bruto /       $1.024.328,50 neto"/>
    <s v="122/75"/>
    <s v="No"/>
    <m/>
    <m/>
  </r>
  <r>
    <s v="00068"/>
    <d v="2025-12-29T00:00:00"/>
    <s v="Cerrada"/>
    <s v="Franco"/>
    <s v="Aprobada"/>
    <m/>
    <m/>
    <m/>
    <m/>
    <x v="7"/>
    <s v="Farmacia Nobel"/>
    <s v="Administración"/>
    <s v="Farmacia Lamaité"/>
    <s v="Administrativo/a"/>
    <s v="CAJERO/A"/>
    <s v="Ivan Lara"/>
    <m/>
    <x v="0"/>
    <x v="0"/>
    <m/>
    <m/>
    <m/>
    <s v="Reemplazo"/>
    <m/>
    <s v="Melanie Cabrera "/>
    <m/>
    <s v="Plazo Fijo"/>
    <m/>
    <m/>
    <s v="Lunes a Viernes 16 a 22hs y Sabados de 13 a 22hs."/>
    <s v="Farmacia"/>
    <d v="2026-01-08T00:00:00"/>
    <d v="2026-01-19T00:00:00"/>
    <m/>
    <m/>
    <s v="Roxana Sequeira"/>
    <s v=" $1.429.794,99 bruto / $1.158.134,00 neto"/>
    <s v="414/05"/>
    <s v="No"/>
    <s v="No"/>
    <s v="19/12 Se conocen 2 candidatos, avanza 1 a preoc."/>
  </r>
  <r>
    <s v="00069"/>
    <d v="2025-12-29T00:00:00"/>
    <s v="Cerrada"/>
    <s v="Ema"/>
    <s v="Aprobada"/>
    <m/>
    <m/>
    <m/>
    <m/>
    <x v="3"/>
    <s v="CIRENDSA"/>
    <s v="Enfermeria"/>
    <s v="Terapia Intensiva"/>
    <s v="Asistencial/Enfermería"/>
    <s v="Enfermero/a de Terapia Intensiva"/>
    <s v="Alvez"/>
    <m/>
    <x v="0"/>
    <x v="0"/>
    <m/>
    <m/>
    <m/>
    <s v="Reemplazo"/>
    <m/>
    <s v="Vuelta Vasquez V a CM"/>
    <m/>
    <s v="Plazo Fijo"/>
    <m/>
    <m/>
    <s v="6 A 14 HS"/>
    <s v="SANATORIO"/>
    <d v="2026-02-10T00:00:00"/>
    <d v="2026-02-23T00:00:00"/>
    <m/>
    <m/>
    <s v="DANNA SPIRAN"/>
    <s v="$1.444.204,15  bruto /       $1.205.247,26 neto"/>
    <s v="122/75"/>
    <s v="No"/>
    <m/>
    <m/>
  </r>
  <r>
    <s v="00070"/>
    <d v="2025-12-29T00:00:00"/>
    <s v="Cerrada"/>
    <s v="Ema"/>
    <s v="Aprobada"/>
    <m/>
    <m/>
    <m/>
    <m/>
    <x v="3"/>
    <s v="CIRENDSA"/>
    <s v="Enfermeria"/>
    <s v="Terapia Intensiva"/>
    <s v="Asistencial/Enfermería"/>
    <s v="Enfermero/a de Terapia Intensiva"/>
    <s v="Alvez"/>
    <m/>
    <x v="0"/>
    <x v="0"/>
    <m/>
    <m/>
    <m/>
    <s v="Reemplazo"/>
    <m/>
    <s v="Vuelta de Placereano a CM"/>
    <m/>
    <s v="Plazo Fijo"/>
    <m/>
    <m/>
    <s v="6 A 14 HS"/>
    <s v="SANATORIO"/>
    <d v="2026-02-10T00:00:00"/>
    <d v="2026-02-23T00:00:00"/>
    <m/>
    <m/>
    <s v="JANETH VARGAS"/>
    <s v="$1.444.204,15  bruto /       $1.205.247,26 neto"/>
    <s v="122/75"/>
    <s v="No"/>
    <m/>
    <m/>
  </r>
  <r>
    <s v="00071"/>
    <d v="2025-12-29T00:00:00"/>
    <s v="Cerrada"/>
    <s v="Ema"/>
    <s v="Aprobada"/>
    <m/>
    <m/>
    <m/>
    <m/>
    <x v="3"/>
    <s v="CIRENDSA"/>
    <s v="Hotelería"/>
    <s v="Internación"/>
    <s v="Servicios Generales"/>
    <s v="MUCAMO/A"/>
    <s v="Valeria Dodero"/>
    <m/>
    <x v="0"/>
    <x v="0"/>
    <m/>
    <m/>
    <m/>
    <s v="Reemplazo"/>
    <m/>
    <s v="Menendez Ab"/>
    <m/>
    <s v="Plazo Fijo"/>
    <m/>
    <m/>
    <s v="6-14 HS"/>
    <s v="SANATORIO"/>
    <d v="2026-01-15T00:00:00"/>
    <d v="2026-02-09T00:00:00"/>
    <m/>
    <m/>
    <s v="NORMA ROJAS"/>
    <s v="$1.052.963,43  bruto /       $875.067,00 neto"/>
    <s v="122/75"/>
    <s v="No"/>
    <m/>
    <m/>
  </r>
  <r>
    <s v="00072"/>
    <d v="2025-12-31T00:00:00"/>
    <s v="Cerrada"/>
    <s v="Franco"/>
    <s v="Aprobada"/>
    <m/>
    <m/>
    <m/>
    <m/>
    <x v="0"/>
    <s v="Cobensil"/>
    <s v="Cobranzas"/>
    <s v="Administración y Finanzas"/>
    <s v="Comercial, ventas y cobranzas"/>
    <s v="Cobrador/a"/>
    <s v="Florencia Rodriguez"/>
    <m/>
    <x v="0"/>
    <x v="0"/>
    <m/>
    <m/>
    <m/>
    <s v="Reemplazo"/>
    <m/>
    <s v="Monica Andrade (153820)"/>
    <m/>
    <s v="Inderminado "/>
    <m/>
    <m/>
    <s v="Lunes a Viernes de 14h a 20hs, Sabado x medio de 9 a 13hs (Part time) "/>
    <s v="Ravignani"/>
    <d v="2026-01-06T00:00:00"/>
    <d v="2026-01-13T00:00:00"/>
    <m/>
    <m/>
    <s v="Camila Fernandez"/>
    <s v="$711.303,94 bruto / $564.434,00 neto"/>
    <s v="130/75"/>
    <s v="No"/>
    <s v="No"/>
    <s v="12/12 - Se conocen 3 candidatos, se avanzan con los 3 a preoc."/>
  </r>
  <r>
    <s v="00073"/>
    <d v="2025-12-31T00:00:00"/>
    <s v="Cerrada"/>
    <s v="Ema"/>
    <s v="Aprobada"/>
    <m/>
    <m/>
    <m/>
    <m/>
    <x v="3"/>
    <s v="CIRENDSA"/>
    <s v="Enfermeria"/>
    <s v="Internación"/>
    <s v="Asistencial/Enfermería"/>
    <s v="Enfermero/a de Internación"/>
    <s v="Alvez"/>
    <m/>
    <x v="0"/>
    <x v="0"/>
    <m/>
    <m/>
    <m/>
    <s v="Reemplazo"/>
    <m/>
    <s v="Pase a TN Avircata V"/>
    <m/>
    <s v="Eventual "/>
    <m/>
    <m/>
    <s v="22 A 6 HS por eventual vacaciones"/>
    <s v="SANATORIO"/>
    <d v="2026-01-27T00:00:00"/>
    <d v="2026-02-02T00:00:00"/>
    <m/>
    <m/>
    <s v="ARIEL GUTIERREZ"/>
    <s v="$1.333.887,91  bruto /        $1.114.788,00 neto"/>
    <s v="122/75"/>
    <s v="No"/>
    <m/>
    <m/>
  </r>
  <r>
    <s v="00074"/>
    <d v="2025-12-31T00:00:00"/>
    <s v="Cerrada"/>
    <s v="Franco"/>
    <s v="Aprobada"/>
    <m/>
    <s v="No"/>
    <m/>
    <m/>
    <x v="0"/>
    <s v="Cobensil SA"/>
    <s v="Ventas Retail"/>
    <s v="Comercial"/>
    <s v="Comercial, ventas y cobranzas"/>
    <s v="VENDEDOR/A"/>
    <s v="Serafin"/>
    <m/>
    <x v="0"/>
    <x v="0"/>
    <m/>
    <m/>
    <m/>
    <s v="Reemplazo"/>
    <m/>
    <s v="MARTINEZ, JOEL SEBASTIAN"/>
    <m/>
    <s v="Inderminado "/>
    <m/>
    <m/>
    <s v="Lunes a Viernes de 10 a 18hs"/>
    <s v="Sede Colegiales (Lacroze 3257)"/>
    <d v="2026-01-22T00:00:00"/>
    <d v="2026-02-03T00:00:00"/>
    <m/>
    <m/>
    <s v="TOROSANTUCCI, ADRIAN"/>
    <s v="$1.271.329,36 bruto /  $1.036.688,00 neto"/>
    <s v="130/75"/>
    <s v="No"/>
    <s v="No"/>
    <s v="03/02/26 iba a ingresar una candidata pero se bajo el dia de la firma, se retoma proceso de busqueda"/>
  </r>
  <r>
    <s v="00075"/>
    <d v="2025-12-31T00:00:00"/>
    <s v="Cerrada"/>
    <s v="Franco"/>
    <s v="Aprobada"/>
    <m/>
    <m/>
    <m/>
    <m/>
    <x v="2"/>
    <s v="CMM"/>
    <s v="Atención al Paciente"/>
    <s v="Administración"/>
    <s v="Administrativo/a"/>
    <s v="RECEPCIONISTA"/>
    <s v="Facundo De Franco"/>
    <m/>
    <x v="0"/>
    <x v="0"/>
    <m/>
    <m/>
    <m/>
    <s v="Reemplazo"/>
    <m/>
    <s v=" Lourdes Fiori"/>
    <m/>
    <s v="Inderminado "/>
    <m/>
    <m/>
    <s v="Lunes a Viernes de 11 a 20hs."/>
    <s v="Recoleta"/>
    <d v="2026-01-28T00:00:00"/>
    <d v="2026-02-03T00:00:00"/>
    <m/>
    <m/>
    <s v="Yanina Juarez"/>
    <s v="1.169.193,70 bruto / $970.618,83 neto"/>
    <s v="108/75"/>
    <s v="No"/>
    <s v="No"/>
    <s v="23-01 - entrrevista gestor + una candidata backup en preocupacional "/>
  </r>
  <r>
    <s v="00076"/>
    <d v="2026-01-01T00:00:00"/>
    <s v="Cerrada"/>
    <s v="Ema"/>
    <s v="Aprobada"/>
    <m/>
    <m/>
    <m/>
    <m/>
    <x v="3"/>
    <s v="CIRENDSA"/>
    <s v="Hotelería"/>
    <s v="Internación"/>
    <s v="Servicios Generales"/>
    <s v="MUCAMO/A"/>
    <s v="Valeria Dodero"/>
    <m/>
    <x v="0"/>
    <x v="0"/>
    <m/>
    <m/>
    <m/>
    <s v="Reemplazo"/>
    <m/>
    <s v="1+ Vacaciones TM"/>
    <m/>
    <s v="Eventual "/>
    <m/>
    <m/>
    <s v="6-14 HS"/>
    <s v="SANATORIO"/>
    <d v="2026-01-15T00:00:00"/>
    <d v="2026-01-23T00:00:00"/>
    <m/>
    <m/>
    <s v="WILMA ROJAS"/>
    <s v="$1.052.963,43 bruto /        $875.067,00 neto"/>
    <s v="122/75"/>
    <s v="No"/>
    <s v="No"/>
    <m/>
  </r>
  <r>
    <s v="00077"/>
    <d v="2026-01-01T00:00:00"/>
    <s v="Cerrada"/>
    <s v="Ema"/>
    <s v="Aprobada"/>
    <m/>
    <m/>
    <m/>
    <m/>
    <x v="3"/>
    <s v="CIRENDSA"/>
    <s v="Cirugía"/>
    <s v="Quirófano"/>
    <s v="Asistencial/Otros"/>
    <s v="INSTRUMENTADOR/A"/>
    <s v="Di Franco"/>
    <m/>
    <x v="0"/>
    <x v="0"/>
    <m/>
    <m/>
    <m/>
    <s v="Reemplazo"/>
    <m/>
    <s v="Vacaciones"/>
    <m/>
    <s v="Eventual "/>
    <m/>
    <m/>
    <s v="Lunes a Sábados 7 a 15 hs. Feriados rotativos."/>
    <s v="SANATORIO"/>
    <d v="2026-01-05T00:00:00"/>
    <d v="2026-01-12T00:00:00"/>
    <m/>
    <m/>
    <s v="CATARINA RENDE"/>
    <s v="$1.478.071,38  bruto /       $1.230.851,50 neto"/>
    <s v="122/75"/>
    <s v="No"/>
    <m/>
    <m/>
  </r>
  <r>
    <s v="00078"/>
    <d v="2026-01-01T00:00:00"/>
    <s v="Cerrada"/>
    <s v="Ema"/>
    <s v="Aprobada"/>
    <m/>
    <m/>
    <m/>
    <m/>
    <x v="3"/>
    <s v="CIRENDSA"/>
    <s v="Cirugía"/>
    <s v="Quirófano"/>
    <s v="Asistencial/Otros"/>
    <s v="INSTRUMENTADOR/A"/>
    <s v="Di Franco"/>
    <m/>
    <x v="0"/>
    <x v="0"/>
    <m/>
    <m/>
    <m/>
    <s v="Reemplazo"/>
    <m/>
    <s v="Vacaciones"/>
    <m/>
    <s v="Eventual "/>
    <m/>
    <m/>
    <s v="Lunes a Sábados 7 a 15 hs. Feriados rotativos."/>
    <s v="SANATORIO"/>
    <d v="2026-01-05T00:00:00"/>
    <d v="2026-01-12T00:00:00"/>
    <m/>
    <m/>
    <s v="MELANY GUTIERREZ"/>
    <s v="$1.478.071,38  bruto /       $1.230.851,50 neto"/>
    <s v="122/75"/>
    <s v="No"/>
    <m/>
    <s v="23/12 entrevista RRHH + Gestor 26/12 preoc 07/01 Se baja del proceso 9/1 entrevista"/>
  </r>
  <r>
    <s v="00079"/>
    <d v="2026-01-01T00:00:00"/>
    <s v="Cerrada"/>
    <s v="Ema"/>
    <s v="Aprobada"/>
    <m/>
    <m/>
    <m/>
    <m/>
    <x v="3"/>
    <s v="CIRENDSA"/>
    <s v="Cirugía"/>
    <s v="Quirófano"/>
    <s v="Asistencial/Otros"/>
    <s v="INSTRUMENTADOR/A"/>
    <s v="Di Franco"/>
    <m/>
    <x v="0"/>
    <x v="0"/>
    <m/>
    <m/>
    <m/>
    <s v="Reemplazo"/>
    <m/>
    <s v="Vacaciones"/>
    <m/>
    <s v="Eventual "/>
    <m/>
    <m/>
    <s v="Lunes a Sábados 15 a 23 hs. Feriados rotativos."/>
    <s v="SANATORIO"/>
    <d v="2026-01-05T00:00:00"/>
    <d v="2026-01-19T00:00:00"/>
    <m/>
    <m/>
    <s v="DOLORES VARGAS"/>
    <s v="$1.478.071,38  bruto /       $1.230.851,50 neto"/>
    <s v="122/75"/>
    <s v="No"/>
    <m/>
    <s v="9/1 entrevista RRHH + Gestor "/>
  </r>
  <r>
    <s v="00080"/>
    <d v="2026-01-01T00:00:00"/>
    <s v="Cerrada"/>
    <s v="Ema"/>
    <s v="Aprobada"/>
    <m/>
    <m/>
    <m/>
    <m/>
    <x v="3"/>
    <s v="CIRENDSA"/>
    <s v="Cirugía"/>
    <s v="Quirófano"/>
    <s v="Asistencial/Otros"/>
    <s v="INSTRUMENTADOR/A"/>
    <s v="Di Franco"/>
    <m/>
    <x v="0"/>
    <x v="0"/>
    <m/>
    <m/>
    <m/>
    <s v="Reemplazo"/>
    <m/>
    <s v="Vacaciones"/>
    <m/>
    <s v="Eventual "/>
    <m/>
    <m/>
    <s v="L A S 15 A 23 HS. FERIADO ROTATIVO"/>
    <s v="SANATORIO"/>
    <d v="2026-02-05T00:00:00"/>
    <d v="2026-02-09T00:00:00"/>
    <m/>
    <m/>
    <s v="ALEJANDRO CANDADO"/>
    <m/>
    <s v="122/75"/>
    <s v="No"/>
    <m/>
    <s v="23/12 entrevista RRHH 26/12 No asiste a entrevista con Gestor "/>
  </r>
  <r>
    <s v="00081"/>
    <d v="2026-01-01T00:00:00"/>
    <s v="Cerrada"/>
    <s v="Ema"/>
    <s v="Aprobada"/>
    <m/>
    <m/>
    <m/>
    <m/>
    <x v="3"/>
    <s v="CIRENDSA"/>
    <s v="Enfermeria"/>
    <s v="Terapia Intensiva"/>
    <s v="Asistencial/Enfermería"/>
    <s v="Enfermero/a de Terapia Intensiva"/>
    <s v="Alvez"/>
    <m/>
    <x v="0"/>
    <x v="0"/>
    <m/>
    <m/>
    <m/>
    <s v="Reemplazo"/>
    <m/>
    <s v="Vacante TM"/>
    <m/>
    <s v="Plazo Fijo"/>
    <m/>
    <m/>
    <s v="6 A 14 HS"/>
    <s v="SANATORIO"/>
    <d v="2026-02-19T00:00:00"/>
    <d v="2026-02-23T00:00:00"/>
    <m/>
    <m/>
    <s v="SANDRA DAVILA"/>
    <s v="$1.444.204,15  bruto /       $1.205.247,26 neto"/>
    <s v="122/75"/>
    <s v="No"/>
    <m/>
    <m/>
  </r>
  <r>
    <s v="00082"/>
    <d v="2026-01-01T00:00:00"/>
    <s v="Cerrada"/>
    <s v="Ema"/>
    <s v="Aprobada"/>
    <m/>
    <m/>
    <m/>
    <m/>
    <x v="3"/>
    <s v="CIRENDSA"/>
    <s v="Enfermeria"/>
    <s v="Terapia Intensiva"/>
    <s v="Asistencial/Enfermería"/>
    <s v="Enfermero/a de Terapia Intensiva"/>
    <s v="Alvez"/>
    <m/>
    <x v="0"/>
    <x v="0"/>
    <m/>
    <m/>
    <m/>
    <s v="Reemplazo"/>
    <m/>
    <s v="Vacante TM"/>
    <m/>
    <s v="Plazo Fijo"/>
    <m/>
    <m/>
    <s v="6 A 14 HS"/>
    <s v="SANATORIO"/>
    <d v="2026-02-19T00:00:00"/>
    <d v="2026-02-23T00:00:00"/>
    <m/>
    <m/>
    <s v="SERGIO MARINERO"/>
    <s v="$1.444.204,15  bruto /       $1.205.247,26 neto"/>
    <s v="122/75"/>
    <s v="No"/>
    <m/>
    <m/>
  </r>
  <r>
    <s v="00083"/>
    <d v="2026-01-01T00:00:00"/>
    <s v="Cerrada"/>
    <s v="Ema"/>
    <s v="Aprobada"/>
    <m/>
    <m/>
    <m/>
    <m/>
    <x v="3"/>
    <s v="CIRENDSA"/>
    <s v="Enfermeria"/>
    <s v="Internación"/>
    <s v="Asistencial/Enfermería"/>
    <s v="Enfermero/a de Internación"/>
    <s v="Alvez"/>
    <m/>
    <x v="0"/>
    <x v="0"/>
    <m/>
    <m/>
    <m/>
    <s v="Reemplazo"/>
    <m/>
    <s v="1+ Vacaciones CM TM"/>
    <m/>
    <s v="Eventual "/>
    <m/>
    <m/>
    <s v="6 A 14 HS por EVENTUAL vacaciones"/>
    <s v="SANATORIO"/>
    <d v="2026-01-15T00:00:00"/>
    <d v="2026-02-02T00:00:00"/>
    <m/>
    <m/>
    <s v="ANA CESPEDES"/>
    <s v="$1.223.571,44  bruto /       $1.024.328,50 neto"/>
    <s v="122/75"/>
    <s v="No"/>
    <m/>
    <m/>
  </r>
  <r>
    <s v="00084"/>
    <d v="2026-01-01T00:00:00"/>
    <s v="Cerrada"/>
    <s v="Ema"/>
    <s v="Aprobada"/>
    <m/>
    <m/>
    <m/>
    <m/>
    <x v="3"/>
    <s v="CIRENDSA"/>
    <s v="Enfermeria"/>
    <s v="Internación"/>
    <s v="Asistencial/Enfermería"/>
    <s v="Enfermero/a de Internación"/>
    <s v="Alvez"/>
    <m/>
    <x v="0"/>
    <x v="0"/>
    <m/>
    <m/>
    <m/>
    <s v="Reemplazo"/>
    <m/>
    <s v="1+ Vacaciones CM TN"/>
    <m/>
    <s v="Eventual "/>
    <m/>
    <m/>
    <s v="22 a 6 HS por EVENTUAL vacaciones"/>
    <s v="SANATORIO"/>
    <d v="2026-01-28T00:00:00"/>
    <d v="2026-02-02T00:00:00"/>
    <m/>
    <m/>
    <s v="KELLY CARRASCO"/>
    <s v="$1.333.887,91  bruto /       $1.114.788,00 neto"/>
    <s v="122/75"/>
    <s v="No"/>
    <m/>
    <m/>
  </r>
  <r>
    <s v="00085"/>
    <d v="2026-01-01T00:00:00"/>
    <s v="Cerrada"/>
    <s v="Ema"/>
    <s v="Aprobada"/>
    <m/>
    <m/>
    <m/>
    <m/>
    <x v="3"/>
    <s v="CIRENDSA"/>
    <s v="Enfermeria"/>
    <s v="Área Cerrada"/>
    <s v="Asistencial/Enfermería"/>
    <s v="Enfermero/a de área cerrada (UCO/UTI)"/>
    <s v="Noelia Alvez"/>
    <m/>
    <x v="0"/>
    <x v="0"/>
    <m/>
    <m/>
    <m/>
    <s v="Reemplazo"/>
    <m/>
    <s v="Tapia M"/>
    <m/>
    <s v="Indeterminado "/>
    <m/>
    <m/>
    <s v="TM - 6 a 14 hs"/>
    <s v="SANATORIO"/>
    <d v="2026-04-20T00:00:00"/>
    <d v="2026-04-20T00:00:00"/>
    <s v="Interna"/>
    <m/>
    <s v="GUSTAVO ROCHA"/>
    <s v="Eventual. Se efectiviza el puesto"/>
    <s v="122/75"/>
    <s v="No"/>
    <m/>
    <s v="22/2 Preo No apto por Labo - Se retoma // 27/3 no apto por epilepsia"/>
  </r>
  <r>
    <s v="00086"/>
    <d v="2026-01-02T00:00:00"/>
    <s v="Cerrada"/>
    <s v="Ema"/>
    <s v="Aprobada"/>
    <m/>
    <m/>
    <m/>
    <m/>
    <x v="3"/>
    <s v="CIRENDSA"/>
    <s v="Cirugía"/>
    <s v="Quirófano"/>
    <s v="Asistencial/Otros"/>
    <s v="Tecnico/a de Hemodinamia"/>
    <s v="Samaja"/>
    <m/>
    <x v="0"/>
    <x v="0"/>
    <m/>
    <m/>
    <m/>
    <s v="Reemplazo"/>
    <m/>
    <s v="Surraco Capdevila"/>
    <m/>
    <s v="Inderminado "/>
    <m/>
    <m/>
    <s v="LUNES A VIERNES 17 A 22 HS. Guardias pasivas a coordinar"/>
    <s v="SANATORIO"/>
    <d v="2026-01-21T00:00:00"/>
    <d v="2026-01-23T00:00:00"/>
    <m/>
    <m/>
    <s v="LIZ MARLENE RODRIGUEZ"/>
    <s v="$1.478.689,81  bruto /       $1.233.525,50 neto"/>
    <s v="122/75"/>
    <s v="No"/>
    <m/>
    <m/>
  </r>
  <r>
    <s v="00087"/>
    <d v="2026-01-02T00:00:00"/>
    <s v="Cerrada"/>
    <s v="Ema"/>
    <s v="Aprobada"/>
    <m/>
    <m/>
    <m/>
    <m/>
    <x v="3"/>
    <s v="CIRENDSA"/>
    <s v="Admisión"/>
    <s v="Consultorios Externos"/>
    <s v="Administrativo/a"/>
    <s v="ADMISIONISTA"/>
    <s v="Gomez"/>
    <m/>
    <x v="0"/>
    <x v="0"/>
    <m/>
    <m/>
    <m/>
    <s v="Reemplazo"/>
    <m/>
    <s v="Pase a DICOM - Colombo"/>
    <m/>
    <s v="Plazo Fijo"/>
    <m/>
    <m/>
    <s v="Lunes a Viernes 14 a 20 hs. Sábado por medio 7 a 13 hs"/>
    <s v="SANATORIO"/>
    <d v="2026-01-15T00:00:00"/>
    <d v="2026-01-23T00:00:00"/>
    <m/>
    <m/>
    <s v="MARIA LAURA BLOCH"/>
    <s v="$842.805,08 bruto /        $697.077,50 neto"/>
    <s v="122/75"/>
    <s v="No"/>
    <m/>
    <m/>
  </r>
  <r>
    <s v="00088"/>
    <d v="2026-01-02T00:00:00"/>
    <s v="Cerrada"/>
    <s v="Ema"/>
    <s v="Aprobada"/>
    <m/>
    <m/>
    <m/>
    <m/>
    <x v="3"/>
    <s v="CIRENDSA"/>
    <s v="Admisión"/>
    <s v="Consultorios Externos"/>
    <s v="Administrativo/a"/>
    <s v="ADMISIONISTA"/>
    <s v="Gomez"/>
    <m/>
    <x v="0"/>
    <x v="0"/>
    <m/>
    <m/>
    <m/>
    <s v="Reemplazo"/>
    <m/>
    <s v="Pase a DICOM - Acuña"/>
    <m/>
    <s v="Plazo Fijo"/>
    <m/>
    <m/>
    <s v="Lunes a Viernes 14 a 20 hs. Sábado por medio 7 a 13 hs"/>
    <s v="SANATORIO"/>
    <d v="2026-01-15T00:00:00"/>
    <d v="2026-01-23T00:00:00"/>
    <m/>
    <m/>
    <s v="LUCILA BELEN CORTES"/>
    <s v="$842.805,08 bruto /        $697.077,50 neto"/>
    <s v="122/75"/>
    <s v="No"/>
    <m/>
    <m/>
  </r>
  <r>
    <s v="00089"/>
    <d v="2026-01-02T00:00:00"/>
    <s v="Cerrada"/>
    <s v="Ema"/>
    <s v="Aprobada"/>
    <m/>
    <m/>
    <m/>
    <m/>
    <x v="3"/>
    <s v="CIRENDSA"/>
    <s v="Hotelería"/>
    <s v="Internación"/>
    <s v="Servicios Generales"/>
    <s v="PEON"/>
    <s v="Valeria Dodero"/>
    <m/>
    <x v="0"/>
    <x v="0"/>
    <m/>
    <m/>
    <m/>
    <s v="Reemplazo"/>
    <m/>
    <s v="Gutierrez M"/>
    <m/>
    <s v="Plazo Fijo"/>
    <m/>
    <m/>
    <s v="22 A 6 HS. 1 franco semanal rotativo entre Sábado y Domingo."/>
    <s v="SANATORIO"/>
    <d v="2026-01-19T00:00:00"/>
    <d v="2026-01-23T00:00:00"/>
    <m/>
    <m/>
    <s v="FACUNDO OSORIO"/>
    <s v="$1.169.271,41  bruto /       $979.802,50 neto"/>
    <s v="122/75"/>
    <s v="No"/>
    <m/>
    <m/>
  </r>
  <r>
    <s v="00090"/>
    <d v="2026-01-02T00:00:00"/>
    <s v="Cerrada"/>
    <s v="Ema"/>
    <s v="Aprobada"/>
    <m/>
    <m/>
    <m/>
    <m/>
    <x v="3"/>
    <s v="CIRENDSA"/>
    <s v="Hotelería"/>
    <s v="Internación"/>
    <s v="Servicios Generales"/>
    <s v="PEON"/>
    <s v="Valeria Dodero"/>
    <m/>
    <x v="0"/>
    <x v="0"/>
    <m/>
    <m/>
    <m/>
    <s v="Reemplazo"/>
    <m/>
    <s v="Melillan A"/>
    <m/>
    <s v="Plazo Fijo"/>
    <m/>
    <m/>
    <s v="22 A 6 HS. 1 franco semanal rotativo entre Sábado y Domingo."/>
    <s v="SANATORIO"/>
    <d v="2026-01-19T00:00:00"/>
    <d v="2026-01-23T00:00:00"/>
    <m/>
    <m/>
    <s v="GABRIEL PAIVA"/>
    <s v="$1.169.271,41  bruto /       $979.802,50 neto"/>
    <s v="122/75"/>
    <s v="No"/>
    <m/>
    <m/>
  </r>
  <r>
    <s v="00091"/>
    <d v="2026-01-03T00:00:00"/>
    <s v="Cerrada"/>
    <s v="Ema"/>
    <s v="Aprobada"/>
    <m/>
    <m/>
    <m/>
    <m/>
    <x v="3"/>
    <s v="CIRENDSA"/>
    <s v="Hotelería"/>
    <s v="Internación"/>
    <s v="Servicios Generales"/>
    <s v="MUCAMO/A"/>
    <s v="Valeria Dodero"/>
    <m/>
    <x v="0"/>
    <x v="0"/>
    <m/>
    <m/>
    <m/>
    <s v="Reemplazo"/>
    <m/>
    <s v="Luna E"/>
    <m/>
    <s v="Plazo Fijo"/>
    <m/>
    <m/>
    <s v="14-22 HS"/>
    <s v="SANATORIO"/>
    <d v="2026-01-06T00:00:00"/>
    <d v="2026-01-19T00:00:00"/>
    <m/>
    <m/>
    <s v="EVA MARIA PEREZ"/>
    <s v="$1.000.154,62  BRUTO /  $830.004,50 NETO"/>
    <s v="122/75"/>
    <s v="No"/>
    <m/>
    <m/>
  </r>
  <r>
    <s v="00092"/>
    <d v="2026-01-03T00:00:00"/>
    <s v="Cerrada"/>
    <s v="Ema"/>
    <s v="Aprobada"/>
    <m/>
    <m/>
    <m/>
    <m/>
    <x v="3"/>
    <s v="CIRENDSA"/>
    <s v="Hotelería"/>
    <s v="Internación"/>
    <s v="Servicios Generales"/>
    <s v="MUCAMO/A"/>
    <s v="Valeria Dodero"/>
    <m/>
    <x v="0"/>
    <x v="0"/>
    <m/>
    <m/>
    <m/>
    <s v="Reemplazo"/>
    <m/>
    <s v="Lescano C"/>
    <m/>
    <s v="Plazo Fijo"/>
    <m/>
    <m/>
    <s v="14-22 HS"/>
    <s v="SANATORIO"/>
    <d v="2026-01-15T00:00:00"/>
    <d v="2026-01-23T00:00:00"/>
    <m/>
    <m/>
    <s v="ERICA GONZALEZ"/>
    <s v="$1.052.963,43  bruto /       $875.067,00 neto"/>
    <s v="122/75"/>
    <s v="No"/>
    <m/>
    <s v="16/1 Ant penales. Se retoma"/>
  </r>
  <r>
    <s v="00093"/>
    <d v="2026-01-03T00:00:00"/>
    <s v="Cerrada"/>
    <s v="Ema"/>
    <s v="Aprobada"/>
    <m/>
    <m/>
    <m/>
    <m/>
    <x v="3"/>
    <s v="CIRENDSA"/>
    <s v="Hotelería"/>
    <s v="Internación"/>
    <s v="Servicios Generales"/>
    <s v="MUCAMO/A"/>
    <s v="Valeria Dodero"/>
    <m/>
    <x v="0"/>
    <x v="0"/>
    <m/>
    <m/>
    <m/>
    <s v="Reemplazo"/>
    <m/>
    <s v="Sainz Y"/>
    <m/>
    <s v="Plazo Fijo"/>
    <m/>
    <m/>
    <s v="14-22 HS"/>
    <s v="SANATORIO"/>
    <d v="2026-01-06T00:00:00"/>
    <d v="2026-01-19T00:00:00"/>
    <m/>
    <m/>
    <s v="ALDANA AGUIRRE"/>
    <s v="$1.000.154,62  BRUTO /  $830.004,50 NETO"/>
    <s v="122/75"/>
    <s v="No"/>
    <m/>
    <m/>
  </r>
  <r>
    <s v="00094"/>
    <d v="2026-01-05T00:00:00"/>
    <s v="Cerrada"/>
    <s v="Franco"/>
    <s v="Aprobada"/>
    <m/>
    <m/>
    <m/>
    <m/>
    <x v="5"/>
    <s v="CMV"/>
    <s v="Sistemas"/>
    <s v="Sistemas"/>
    <s v="Analista IT"/>
    <s v="Soporte Tecnico"/>
    <s v="Marcelo Engel"/>
    <m/>
    <x v="0"/>
    <x v="0"/>
    <m/>
    <s v="Baja"/>
    <s v="Media"/>
    <s v="Reemplazo"/>
    <m/>
    <s v="Pablo Cammi"/>
    <m/>
    <s v="Inderminado "/>
    <m/>
    <m/>
    <s v="Lunes a Viernes de 13 a 21hs y Sábado por medio de 8 a 13hs (45hs semanales)"/>
    <s v="Vilella"/>
    <d v="2026-02-24T00:00:00"/>
    <d v="2026-03-09T00:00:00"/>
    <s v="Externa"/>
    <m/>
    <s v="Santiago Lloveras"/>
    <s v="$1.504.151,39 bruto /  1.229.258,00 neto"/>
    <s v="130/75"/>
    <s v="No"/>
    <s v="No"/>
    <s v="4 candidatos enviados a Marcelo . Marcelo va evaluar la posibilidad de mejorar la propuesta economica ya que el horario es complejo. Entrevista con candidato por parte de rrh el 27-01-26. 29-01 entrevista con Engel. Se avanza a preoc"/>
  </r>
  <r>
    <s v="00095"/>
    <d v="2026-01-05T00:00:00"/>
    <s v="Cerrada"/>
    <s v="Ema"/>
    <s v="Aprobada"/>
    <m/>
    <m/>
    <m/>
    <m/>
    <x v="3"/>
    <s v="CIRENDSA"/>
    <s v="Admisión"/>
    <s v="Consultorios Externos"/>
    <s v="Administrativo/a"/>
    <s v="ADMISIONISTA"/>
    <s v="Gomez"/>
    <m/>
    <x v="0"/>
    <x v="0"/>
    <m/>
    <m/>
    <m/>
    <s v="Reemplazo"/>
    <m/>
    <s v="Molina J"/>
    <m/>
    <s v="Plazo Fijo"/>
    <m/>
    <m/>
    <s v="Lunes a Viernes 14 a 20 hs. Sábado por medio 7 a 13 hs"/>
    <s v="SANATORIO"/>
    <d v="2026-01-15T00:00:00"/>
    <d v="2026-01-23T00:00:00"/>
    <m/>
    <m/>
    <s v="MARIA BELEN CAVALLERO"/>
    <s v="$842.805,08 bruto /        $697.077,50 neto"/>
    <s v="122/75"/>
    <s v="No"/>
    <m/>
    <m/>
  </r>
  <r>
    <s v="00096"/>
    <d v="2026-01-06T00:00:00"/>
    <s v="Cerrada"/>
    <s v="Ema"/>
    <s v="Aprobada"/>
    <m/>
    <m/>
    <m/>
    <m/>
    <x v="4"/>
    <s v="Healthnes"/>
    <s v="Contact Center"/>
    <s v="Operaciones"/>
    <s v="Administrativo/a"/>
    <s v="Operador call center"/>
    <s v="Aste"/>
    <m/>
    <x v="0"/>
    <x v="0"/>
    <m/>
    <m/>
    <m/>
    <s v="Reemplazo"/>
    <m/>
    <s v="Muñoz M"/>
    <m/>
    <s v="Plazo Fijo"/>
    <m/>
    <m/>
    <s v="Lunes a Viernes 13 a 18 hs. Sábados 9 a 14 hs (25 hs)"/>
    <s v="CONTACT CENTER"/>
    <d v="2026-02-10T00:00:00"/>
    <d v="2026-02-23T00:00:00"/>
    <m/>
    <m/>
    <s v="NICOLE ALMARAZ"/>
    <s v="$710.649,96 bruto / $567.231,00 neto"/>
    <s v="130/75"/>
    <s v="No"/>
    <m/>
    <m/>
  </r>
  <r>
    <s v="00097"/>
    <d v="2026-01-07T00:00:00"/>
    <s v="Cerrada"/>
    <s v="Franco"/>
    <s v="Aprobada"/>
    <m/>
    <s v="No"/>
    <m/>
    <m/>
    <x v="0"/>
    <s v="Cobensil SA"/>
    <s v="Ventas Retail"/>
    <s v="Comercial"/>
    <s v="Comercial, ventas y cobranzas"/>
    <s v="VENDEDOR/A"/>
    <s v="Serafin"/>
    <m/>
    <x v="0"/>
    <x v="0"/>
    <m/>
    <m/>
    <m/>
    <s v="Reemplazo"/>
    <m/>
    <s v="PUPPO, MARIA ALICIA"/>
    <m/>
    <s v="Inderminado "/>
    <m/>
    <m/>
    <s v="Lunes a Viernes de 10 a 18hs"/>
    <s v="Sede de Vicente Lopez (Av. Maipu 1680) "/>
    <d v="2026-01-22T00:00:00"/>
    <d v="2026-02-03T00:00:00"/>
    <m/>
    <m/>
    <s v="Aimar Thais Navas"/>
    <s v="$1.271.329,36 bruto /  $1.036.688,00 neto"/>
    <s v="130/75"/>
    <s v="No"/>
    <s v="No"/>
    <m/>
  </r>
  <r>
    <s v="00098"/>
    <d v="2026-01-07T00:00:00"/>
    <s v="Cerrada"/>
    <s v="Franco"/>
    <s v="Aprobada"/>
    <m/>
    <s v="No"/>
    <m/>
    <m/>
    <x v="0"/>
    <s v="Cobensil SA"/>
    <s v="Ventas Retail"/>
    <s v="Comercial"/>
    <s v="Comercial, ventas y cobranzas"/>
    <s v="VENDEDOR/A"/>
    <s v="Serafin"/>
    <m/>
    <x v="0"/>
    <x v="0"/>
    <m/>
    <m/>
    <m/>
    <s v="Reemplazo"/>
    <m/>
    <s v="WARIDEL, MOIRA BELEN"/>
    <m/>
    <s v="Inderminado "/>
    <m/>
    <m/>
    <s v="Lunes a Viernes de 10 a 18hs"/>
    <s v="Sede Colegiales (Lacroze 3257)"/>
    <d v="2026-02-04T00:00:00"/>
    <d v="2026-02-10T00:00:00"/>
    <m/>
    <m/>
    <s v="MEABE BRANDA, MARIA PAULA"/>
    <s v="$1.271.329,36 bruto /  $1.036.688,00 neto"/>
    <s v="130/75"/>
    <s v="No"/>
    <s v="No"/>
    <s v="03/02/26 iba a ingresar una candidata pero se bajo el dia de la firma, se retoma proceso de busqueda"/>
  </r>
  <r>
    <s v="00099"/>
    <d v="2026-01-07T00:00:00"/>
    <s v="Cerrada"/>
    <s v="Ema"/>
    <s v="Aprobada"/>
    <m/>
    <m/>
    <m/>
    <m/>
    <x v="3"/>
    <s v="CIRENDSA"/>
    <s v="Enfermeria"/>
    <s v="Internación"/>
    <s v="Asistencial/Enfermería"/>
    <s v="Enfermero/a de Internación"/>
    <s v="Alvez"/>
    <m/>
    <x v="0"/>
    <x v="0"/>
    <m/>
    <m/>
    <m/>
    <s v="Reemplazo"/>
    <m/>
    <s v="HERVAS N"/>
    <m/>
    <s v="Eventual "/>
    <m/>
    <m/>
    <s v="22 A 6 HS eventual vacaciones"/>
    <s v="SANATORIO"/>
    <d v="2026-01-27T00:00:00"/>
    <d v="2026-02-02T00:00:00"/>
    <m/>
    <m/>
    <s v="DAIANA LUCERO DIAZ"/>
    <s v="$1.333.887,91 bruto /        $1.114.788,00 neto"/>
    <s v="122/75"/>
    <s v="No"/>
    <m/>
    <m/>
  </r>
  <r>
    <s v="00100"/>
    <d v="2026-01-07T00:00:00"/>
    <s v="Cerrada"/>
    <s v="Franco"/>
    <s v="Aprobada"/>
    <m/>
    <m/>
    <m/>
    <m/>
    <x v="0"/>
    <s v="Bristol Medicine SRL"/>
    <s v="Ventas Retail"/>
    <s v="Comercial"/>
    <s v="Comercial, ventas y cobranzas"/>
    <s v="VENDEDOR/A"/>
    <s v="Serafin"/>
    <m/>
    <x v="0"/>
    <x v="0"/>
    <m/>
    <m/>
    <m/>
    <s v="Reemplazo"/>
    <m/>
    <s v="HEILMAN, ADOLFO DANIEL"/>
    <m/>
    <s v="Inderminado "/>
    <m/>
    <m/>
    <s v="Lunes a Viernes de 10 a 17hs"/>
    <s v="Bristol Cespedes"/>
    <d v="2026-02-05T00:00:00"/>
    <d v="2026-02-18T00:00:00"/>
    <m/>
    <m/>
    <s v="YANES, MATIAS"/>
    <s v="$961.576,34 bruto / $803.391,00 neto"/>
    <s v="108/75"/>
    <s v="No"/>
    <s v="No"/>
    <m/>
  </r>
  <r>
    <s v="00101"/>
    <d v="2026-01-07T00:00:00"/>
    <s v="Cerrada"/>
    <s v="Franco"/>
    <s v="Aprobada"/>
    <m/>
    <m/>
    <m/>
    <m/>
    <x v="0"/>
    <s v="Bristol Medicine SRL"/>
    <s v="Ventas Retail"/>
    <s v="Comercial"/>
    <s v="Comercial, ventas y cobranzas"/>
    <s v="VENDEDOR/A"/>
    <s v="Serafin"/>
    <m/>
    <x v="0"/>
    <x v="0"/>
    <m/>
    <m/>
    <m/>
    <s v="Reemplazo"/>
    <m/>
    <s v="PONCHO HERRERA, GEMENIS YELIANNY"/>
    <m/>
    <s v="Inderminado "/>
    <m/>
    <m/>
    <s v="Lunes a Viernes de 10 a 17hs"/>
    <s v="Bristol Cespedes"/>
    <d v="2026-02-05T00:00:00"/>
    <d v="2026-02-18T00:00:00"/>
    <m/>
    <m/>
    <s v="CARVAJAL, PERLA"/>
    <s v="$961.576,34 bruto / $803.391,00 neto"/>
    <s v="108/75"/>
    <s v="No"/>
    <s v="No"/>
    <m/>
  </r>
  <r>
    <s v="00102"/>
    <d v="2026-01-07T00:00:00"/>
    <s v="Cerrada"/>
    <s v="Ema"/>
    <s v="Aprobada"/>
    <m/>
    <m/>
    <m/>
    <m/>
    <x v="3"/>
    <s v="CIRENDSA"/>
    <s v="Cirugía"/>
    <s v="Quirófano"/>
    <s v="Asistencial/Otros"/>
    <s v="INSTRUMENTADOR/A"/>
    <s v="Di Franco"/>
    <m/>
    <x v="0"/>
    <x v="0"/>
    <m/>
    <m/>
    <m/>
    <s v="Reemplazo"/>
    <m/>
    <s v="Pertinez J"/>
    <m/>
    <s v="Eventual "/>
    <m/>
    <m/>
    <s v="L A S 15 A 23 HS. FERIADO ROTATIVO"/>
    <s v="SANATORIO"/>
    <d v="2026-02-03T00:00:00"/>
    <d v="2026-02-09T00:00:00"/>
    <m/>
    <m/>
    <s v="STELLA MARIS CARABAJAL"/>
    <m/>
    <s v="122/75"/>
    <s v="No"/>
    <m/>
    <m/>
  </r>
  <r>
    <s v="00103"/>
    <d v="2026-01-07T00:00:00"/>
    <s v="Cerrada"/>
    <s v="Ema"/>
    <s v="Aprobada"/>
    <m/>
    <m/>
    <m/>
    <m/>
    <x v="3"/>
    <s v="CIRENDSA"/>
    <s v="Enfermeria"/>
    <s v="Internación"/>
    <s v="Asistencial/Enfermería"/>
    <s v="Enfermero/a de Internación"/>
    <s v="Alvez"/>
    <m/>
    <x v="0"/>
    <x v="0"/>
    <m/>
    <m/>
    <m/>
    <s v="Reemplazo"/>
    <m/>
    <s v="Mendoza A"/>
    <m/>
    <s v="Eventual "/>
    <m/>
    <m/>
    <s v="6 A 14 HS eventual vacaciones                "/>
    <s v="SANATORIO"/>
    <d v="2026-01-15T00:00:00"/>
    <d v="2026-02-02T00:00:00"/>
    <m/>
    <m/>
    <s v="ISABEL MAMANI"/>
    <s v="$1.223.571,44  bruto /       $1.024.328,50 neto"/>
    <s v="122/75"/>
    <s v="No"/>
    <m/>
    <m/>
  </r>
  <r>
    <s v="00104"/>
    <d v="2026-01-07T00:00:00"/>
    <s v="Cerrada"/>
    <s v="Ema"/>
    <s v="Aprobada"/>
    <m/>
    <m/>
    <m/>
    <m/>
    <x v="3"/>
    <s v="CIRENDSA"/>
    <s v="Enfermeria"/>
    <s v="Internación"/>
    <s v="Asistencial/Enfermería"/>
    <s v="Enfermero/a de Internación"/>
    <s v="Alvez"/>
    <m/>
    <x v="0"/>
    <x v="0"/>
    <m/>
    <s v="Baja"/>
    <s v="Media"/>
    <s v="Reemplazo"/>
    <m/>
    <s v="Mazars M"/>
    <m/>
    <s v="Inderminado "/>
    <m/>
    <m/>
    <s v="14 A 22 HS"/>
    <s v="SANATORIO"/>
    <d v="2026-03-11T00:00:00"/>
    <d v="2026-03-20T00:00:00"/>
    <m/>
    <m/>
    <s v="RAQUEL POMASONCCO"/>
    <s v="$1.223.571,44  bruto /       $1.024.328,50 neto"/>
    <s v="122/75"/>
    <s v="No"/>
    <s v="No"/>
    <m/>
  </r>
  <r>
    <s v="00105"/>
    <d v="2026-01-08T00:00:00"/>
    <s v="Cerrada"/>
    <s v="Fer"/>
    <s v="Aprobada"/>
    <m/>
    <m/>
    <m/>
    <m/>
    <x v="4"/>
    <s v="Cober"/>
    <s v="Gestión de las Personas"/>
    <s v="Administración y Finanzas"/>
    <s v="Analista"/>
    <s v="Analista de Onboarding "/>
    <s v="Ezequiel"/>
    <m/>
    <x v="0"/>
    <x v="0"/>
    <m/>
    <m/>
    <m/>
    <s v="Reemplazo"/>
    <m/>
    <m/>
    <m/>
    <s v="Inderminado "/>
    <m/>
    <m/>
    <s v="8 a 17hs"/>
    <s v="La Musa"/>
    <d v="2026-01-23T00:00:00"/>
    <d v="2026-01-26T00:00:00"/>
    <m/>
    <m/>
    <s v="Mayra Distéfano"/>
    <s v="$1.500.000 neto"/>
    <m/>
    <s v="No"/>
    <s v="No"/>
    <s v="Se netrevistaron 6 candidatos, pasan a entrevista con Sergio Mayra, Juan y Johana el 15 y 16-01, se envia a preo Mayra el 19-01"/>
  </r>
  <r>
    <s v="00106"/>
    <d v="2026-01-08T00:00:00"/>
    <s v="Cerrada"/>
    <s v="Ema"/>
    <s v="Aprobada"/>
    <m/>
    <m/>
    <m/>
    <m/>
    <x v="3"/>
    <s v="CIRENDSA"/>
    <s v="Enfermeria"/>
    <s v="Internación"/>
    <s v="Asistencial/Enfermería"/>
    <s v="Enfermero/a de Internación"/>
    <s v="Alvez"/>
    <m/>
    <x v="0"/>
    <x v="0"/>
    <m/>
    <s v="Baja"/>
    <s v="Media"/>
    <s v="Reemplazo"/>
    <m/>
    <s v="Lavadenz D"/>
    <m/>
    <s v="Inderminado "/>
    <m/>
    <m/>
    <s v="14 A 22 HS"/>
    <s v="SANATORIO"/>
    <d v="2026-03-11T00:00:00"/>
    <d v="2026-03-20T00:00:00"/>
    <m/>
    <m/>
    <s v="JOHANNA HUARACHI"/>
    <s v="$1.223.571,44  bruto /       $1.024.328,50 neto"/>
    <s v="122/75"/>
    <s v="No"/>
    <s v="No"/>
    <s v="CM TT"/>
  </r>
  <r>
    <s v="00107"/>
    <d v="2026-01-09T00:00:00"/>
    <s v="Cerrada"/>
    <s v="Ema"/>
    <s v="Aprobada"/>
    <m/>
    <m/>
    <m/>
    <m/>
    <x v="3"/>
    <s v="CIRENDSA"/>
    <s v="Hotelería"/>
    <s v="Internación"/>
    <s v="Servicios Generales"/>
    <s v="MUCAMO/A"/>
    <s v="Valeria Dodero"/>
    <m/>
    <x v="0"/>
    <x v="0"/>
    <m/>
    <m/>
    <m/>
    <s v="Reemplazo"/>
    <m/>
    <s v="Aprea C"/>
    <m/>
    <s v="Plazo Fijo"/>
    <m/>
    <m/>
    <s v="14-22 HS"/>
    <s v="SANATORIO"/>
    <d v="2026-01-15T00:00:00"/>
    <d v="2026-01-23T00:00:00"/>
    <m/>
    <m/>
    <s v="YESICA MATURANO"/>
    <s v="$1.052.963,43  bruto /       $875.067,00 neto"/>
    <s v="122/75"/>
    <s v="No"/>
    <m/>
    <m/>
  </r>
  <r>
    <s v="00108"/>
    <d v="2026-01-09T00:00:00"/>
    <s v="Cerrada"/>
    <s v="Ema"/>
    <s v="Aprobada"/>
    <m/>
    <m/>
    <m/>
    <m/>
    <x v="3"/>
    <s v="CIRENDSA"/>
    <s v="Enfermeria"/>
    <s v="Terapia Intensiva"/>
    <s v="Asistencial/Enfermería"/>
    <s v="Enfermero/a de Terapia Intensiva"/>
    <s v="Alvez"/>
    <m/>
    <x v="0"/>
    <x v="0"/>
    <m/>
    <m/>
    <m/>
    <s v="Reemplazo"/>
    <m/>
    <s v="Vacante TM"/>
    <m/>
    <s v="Plazo Fijo"/>
    <m/>
    <m/>
    <s v="6 A 14 HS"/>
    <s v="SANATORIO"/>
    <d v="2026-02-19T00:00:00"/>
    <d v="2026-02-23T00:00:00"/>
    <m/>
    <m/>
    <s v="SOFIA PTASIK"/>
    <s v="$1.444.204,15  bruto /       $1.205.247,26 neto"/>
    <s v="122/75"/>
    <s v="No"/>
    <m/>
    <m/>
  </r>
  <r>
    <s v="00109"/>
    <d v="2026-01-11T00:00:00"/>
    <s v="Cerrada"/>
    <s v="Ema"/>
    <s v="Aprobada"/>
    <m/>
    <m/>
    <m/>
    <m/>
    <x v="3"/>
    <s v="CIRENDSA"/>
    <s v="Hotelería"/>
    <s v="Internación"/>
    <s v="Servicios Generales"/>
    <s v="MUCAMO/A"/>
    <s v="Valeria Dodero"/>
    <m/>
    <x v="0"/>
    <x v="0"/>
    <m/>
    <m/>
    <m/>
    <s v="Reemplazo"/>
    <m/>
    <s v="Vacaciones"/>
    <m/>
    <s v="Eventual "/>
    <m/>
    <m/>
    <s v="6-14 HS eventual por vacaciones"/>
    <s v="SANATORIO"/>
    <d v="2026-01-15T00:00:00"/>
    <d v="2026-02-09T00:00:00"/>
    <m/>
    <m/>
    <s v="YANINA TORREZ"/>
    <s v="$1.052.963,43  bruto /       $875.067,00 neto"/>
    <s v="122/75"/>
    <s v="No"/>
    <m/>
    <m/>
  </r>
  <r>
    <s v="00110"/>
    <d v="2026-01-12T00:00:00"/>
    <s v="Cerrada"/>
    <s v="Ema"/>
    <s v="Aprobada"/>
    <m/>
    <m/>
    <m/>
    <m/>
    <x v="3"/>
    <s v="CIRENDSA"/>
    <s v="Cirugía"/>
    <s v="Quirófano"/>
    <s v="Asistencial/Enfermería"/>
    <s v="Enfermero/a de Quirófano"/>
    <s v="Alvez"/>
    <m/>
    <x v="0"/>
    <x v="0"/>
    <m/>
    <m/>
    <m/>
    <s v="Reemplazo"/>
    <m/>
    <s v="Acosta F/Terrazas Branko"/>
    <m/>
    <s v="Plazo Fijo"/>
    <m/>
    <m/>
    <s v="Lunes a Sábados 15 a 23 hs"/>
    <s v="SANATORIO"/>
    <d v="2026-02-19T00:00:00"/>
    <d v="2026-02-23T00:00:00"/>
    <m/>
    <m/>
    <s v="LUISA SANDOVAL"/>
    <s v="$1.481.645,21 bruto /        $1.235.949,00 neto"/>
    <s v="122/75"/>
    <s v="No"/>
    <m/>
    <s v="16/1 entrevista"/>
  </r>
  <r>
    <s v="00111"/>
    <d v="2026-01-13T00:00:00"/>
    <n v="105"/>
    <s v="Juanpi"/>
    <s v="Aprobada"/>
    <m/>
    <s v="Si"/>
    <m/>
    <m/>
    <x v="4"/>
    <m/>
    <s v="Comunicación"/>
    <s v="Marketing"/>
    <s v="Liderazgo"/>
    <s v="Gerente/a de Marketing"/>
    <s v="Emilio Zalis"/>
    <s v="Maria Rodriguez"/>
    <x v="2"/>
    <x v="2"/>
    <d v="2026-06-15T00:00:00"/>
    <s v="Alta"/>
    <s v="Alta "/>
    <s v="Reemplazo"/>
    <m/>
    <s v="Verónica Casati"/>
    <m/>
    <s v="Inderminado "/>
    <m/>
    <m/>
    <m/>
    <m/>
    <m/>
    <m/>
    <m/>
    <m/>
    <m/>
    <m/>
    <m/>
    <m/>
    <m/>
    <s v="18/11 entrevista María Rodríguez / se vuelve a alinear el perfil. hunting en linkedIn/ EL 15/12 entrevistamos 2do candidato para presentar a Emilio, 16/12 Emilió quedó en planificar entrevista con candidato, según maria. 19/12 aún no se ha dado la segunda entrevista"/>
  </r>
  <r>
    <s v="00112"/>
    <d v="2026-01-13T00:00:00"/>
    <s v="Cerrada"/>
    <s v="Jose"/>
    <s v="Aprobada"/>
    <m/>
    <m/>
    <m/>
    <m/>
    <x v="8"/>
    <s v="Deragopyan"/>
    <s v="Laboratorio"/>
    <s v="Servicios de Apoyo"/>
    <s v="Asistencial/Otros"/>
    <s v="BIOQUIMICO/A"/>
    <s v="Rocio Scarcelli"/>
    <m/>
    <x v="0"/>
    <x v="0"/>
    <m/>
    <m/>
    <m/>
    <s v="Reemplazo"/>
    <m/>
    <s v="Eliana Ferola"/>
    <m/>
    <s v="Plazo Fijo"/>
    <m/>
    <m/>
    <s v="L a V de 09h a 15h, Sábado de 8h a 12h"/>
    <s v="Belgrano "/>
    <m/>
    <d v="2026-02-23T00:00:00"/>
    <m/>
    <m/>
    <s v="Moreangelys Evia"/>
    <n v="2291699.17"/>
    <m/>
    <s v="Ok"/>
    <m/>
    <m/>
  </r>
  <r>
    <s v="00113"/>
    <d v="2026-01-13T00:00:00"/>
    <n v="105"/>
    <s v="Juanpi"/>
    <s v="Aprobada"/>
    <m/>
    <s v="Si"/>
    <s v="No"/>
    <m/>
    <x v="0"/>
    <m/>
    <s v="Business Inteligence"/>
    <s v="Administración y Finanzas"/>
    <s v="Liderazgo"/>
    <s v="Líder de Datos y Negocios Digitales"/>
    <s v="Ignacio Jauregui"/>
    <s v="Maria Rodriguez"/>
    <x v="2"/>
    <x v="3"/>
    <d v="2026-06-15T00:00:00"/>
    <s v="Alta"/>
    <s v="Alta "/>
    <s v="Apertura de puesto"/>
    <m/>
    <m/>
    <m/>
    <s v="Inderminado "/>
    <m/>
    <m/>
    <m/>
    <m/>
    <m/>
    <m/>
    <m/>
    <m/>
    <m/>
    <m/>
    <m/>
    <m/>
    <m/>
    <s v="Cuadro reemplazo de Ignacio Jauregui"/>
  </r>
  <r>
    <s v="00114"/>
    <d v="2026-01-13T00:00:00"/>
    <n v="105"/>
    <s v="Franco"/>
    <s v="Aprobada"/>
    <m/>
    <m/>
    <m/>
    <m/>
    <x v="3"/>
    <m/>
    <s v="Mantenimiento"/>
    <s v="Servicios de Apoyo"/>
    <s v="Mantenimiento y obras"/>
    <s v="OFICIAL DE MANTENIMIENTO"/>
    <s v="Erika Rodriguez"/>
    <m/>
    <x v="3"/>
    <x v="4"/>
    <d v="2026-05-11T00:00:00"/>
    <s v="Baja"/>
    <s v="Alta "/>
    <s v="Reemplazo"/>
    <m/>
    <s v="GALLARDO, JULIO RODRIGO (156867)"/>
    <m/>
    <s v="Inderminado "/>
    <m/>
    <m/>
    <s v="Lunes a Sábados de 14 a 21hs"/>
    <s v="Sanatorio "/>
    <d v="2026-03-26T00:00:00"/>
    <d v="2026-04-01T00:00:00"/>
    <s v="Externa"/>
    <m/>
    <m/>
    <s v="$1.296.567,92 bruto / $1.083.341,50 neto"/>
    <m/>
    <s v="No"/>
    <s v="No"/>
    <s v="Se envia a preoc a candidato el 18/2, se lo recita para que realice rayos"/>
  </r>
  <r>
    <s v="00115"/>
    <d v="2026-01-13T00:00:00"/>
    <s v="Cerrada"/>
    <s v="Ema"/>
    <s v="Aprobada"/>
    <m/>
    <m/>
    <m/>
    <m/>
    <x v="3"/>
    <m/>
    <s v="Clínica Médica"/>
    <s v="Clinica Medica"/>
    <s v="Asistencial/Médicos"/>
    <s v="MEDICO/A"/>
    <s v="Barone"/>
    <m/>
    <x v="4"/>
    <x v="5"/>
    <m/>
    <m/>
    <m/>
    <s v="Reemplazo"/>
    <m/>
    <s v="Goldstein G"/>
    <m/>
    <s v="Inderminado "/>
    <m/>
    <m/>
    <m/>
    <s v="SANATORIO"/>
    <m/>
    <m/>
    <m/>
    <m/>
    <m/>
    <m/>
    <m/>
    <m/>
    <m/>
    <s v="16/1 entrevista"/>
  </r>
  <r>
    <s v="00116"/>
    <d v="2026-01-14T00:00:00"/>
    <s v="Cerrada"/>
    <s v="Jose"/>
    <s v="Aprobada"/>
    <m/>
    <m/>
    <m/>
    <m/>
    <x v="4"/>
    <s v="Cobensil"/>
    <s v="Performance"/>
    <s v="Marketing"/>
    <s v="Analista"/>
    <s v="Analista de performace"/>
    <s v="Atili"/>
    <m/>
    <x v="0"/>
    <x v="0"/>
    <m/>
    <s v="Media "/>
    <s v="Alta "/>
    <s v="Reemplazo"/>
    <m/>
    <s v="Sofia Kantorowikcs "/>
    <m/>
    <s v="Inderminado "/>
    <m/>
    <m/>
    <s v="L a V de 09h a 18h"/>
    <s v="Cramer"/>
    <d v="2026-03-02T00:00:00"/>
    <d v="2026-03-09T00:00:00"/>
    <s v="Externa"/>
    <s v="Computrabajo "/>
    <s v="Jasmín Rojas Canchi"/>
    <s v="1.500.000 netos"/>
    <s v="FUCO"/>
    <s v="Ok"/>
    <m/>
    <m/>
  </r>
  <r>
    <s v="00117"/>
    <d v="2026-01-14T00:00:00"/>
    <s v="Cerrada"/>
    <s v="Ema"/>
    <s v="Aprobada"/>
    <m/>
    <m/>
    <m/>
    <m/>
    <x v="3"/>
    <s v="CIRENDSA"/>
    <s v="Enfermeria"/>
    <s v="INTERNACION"/>
    <s v="Asistencial/Enfermería"/>
    <s v="Enfermero/a de Internación"/>
    <s v="Noelia Alvez"/>
    <m/>
    <x v="0"/>
    <x v="0"/>
    <m/>
    <s v="Baja"/>
    <s v="Alta "/>
    <s v="Reemplazo"/>
    <m/>
    <s v="Sanjines Fabiola"/>
    <m/>
    <s v="Inderminado "/>
    <m/>
    <m/>
    <s v="TM - 6 a 14 hs"/>
    <s v="SANATORIO"/>
    <d v="2026-03-23T00:00:00"/>
    <d v="2026-04-08T00:00:00"/>
    <m/>
    <m/>
    <s v="JESSICA LOPEZ"/>
    <s v="$1.223.571,44  bruto /       $1.024.328,50 neto"/>
    <s v="122/75"/>
    <s v="No"/>
    <s v="No"/>
    <s v="CM TM"/>
  </r>
  <r>
    <s v="00118"/>
    <d v="2026-01-14T00:00:00"/>
    <s v="Cerrada"/>
    <s v="Ema"/>
    <s v="Aprobada"/>
    <m/>
    <m/>
    <m/>
    <m/>
    <x v="3"/>
    <s v="CIRENDSA"/>
    <s v="Enfermeria"/>
    <s v="INTERNACION"/>
    <s v="Asistencial/Enfermería"/>
    <s v="Enfermero/a de Internación"/>
    <s v="Noelia Alvez"/>
    <m/>
    <x v="0"/>
    <x v="0"/>
    <m/>
    <s v="Baja"/>
    <s v="Alta "/>
    <s v="Reemplazo"/>
    <m/>
    <s v="Ordoñez Juan Pablo "/>
    <m/>
    <s v="Inderminado "/>
    <m/>
    <m/>
    <s v="TT - 14 a 22 hs"/>
    <s v="SANATORIO"/>
    <d v="2026-03-23T00:00:00"/>
    <d v="2026-04-08T00:00:00"/>
    <m/>
    <m/>
    <s v="VIRGINIA AYALA"/>
    <s v="$1.223.571,44  bruto /       $1.024.328,50 neto"/>
    <s v="122/75"/>
    <s v="No"/>
    <s v="No"/>
    <s v="CM TT"/>
  </r>
  <r>
    <s v="00119"/>
    <d v="2026-01-15T00:00:00"/>
    <s v="Cerrada"/>
    <s v="Franco"/>
    <s v="Cancelada"/>
    <m/>
    <m/>
    <m/>
    <m/>
    <x v="3"/>
    <m/>
    <s v="Comercial"/>
    <s v="Administración y Finanzas"/>
    <s v="Comercial, ventas y cobranzas"/>
    <s v="Ejecutivo Comercial"/>
    <s v="Poeta"/>
    <m/>
    <x v="1"/>
    <x v="1"/>
    <m/>
    <m/>
    <m/>
    <s v="Reemplazo"/>
    <m/>
    <s v="Camila Espindola"/>
    <m/>
    <s v="Inderminado "/>
    <m/>
    <m/>
    <m/>
    <m/>
    <m/>
    <m/>
    <m/>
    <m/>
    <m/>
    <m/>
    <m/>
    <m/>
    <m/>
    <m/>
  </r>
  <r>
    <s v="00120"/>
    <d v="2026-01-16T00:00:00"/>
    <s v="Cerrada"/>
    <s v="Franco"/>
    <s v="Aprobada"/>
    <m/>
    <m/>
    <m/>
    <m/>
    <x v="3"/>
    <s v="CIRENDSA"/>
    <s v="Mantenimiento"/>
    <s v="Servicios de Apoyo"/>
    <s v="Mantenimiento y obras"/>
    <s v="OFICIAL DE MANTENIMIENTO"/>
    <s v="Erika"/>
    <m/>
    <x v="0"/>
    <x v="0"/>
    <m/>
    <m/>
    <m/>
    <s v="Reemplazo"/>
    <m/>
    <s v="Braian Miguel Rojas"/>
    <m/>
    <s v="Plazo Fijo"/>
    <m/>
    <m/>
    <s v="Lunes a Sabados de 14 a 22hs"/>
    <s v="SANATORIO"/>
    <d v="2026-02-12T00:00:00"/>
    <d v="2026-02-23T00:00:00"/>
    <m/>
    <m/>
    <s v="SABALA SANTIAGO LIONEL"/>
    <s v="$1.296.567,92 bruto / $1.083.341,50 neto"/>
    <s v="122/75"/>
    <s v="No"/>
    <s v="No"/>
    <m/>
  </r>
  <r>
    <s v="00121"/>
    <d v="2026-01-23T00:00:00"/>
    <s v="Cerrada"/>
    <s v="Ema"/>
    <s v="Aprobada"/>
    <m/>
    <m/>
    <m/>
    <m/>
    <x v="3"/>
    <s v="CIRENDSA"/>
    <s v="Enfermeria"/>
    <s v="Internación"/>
    <s v="Asistencial/Enfermería"/>
    <s v="Enfermero/a de Internación"/>
    <s v="Alvez"/>
    <m/>
    <x v="0"/>
    <x v="0"/>
    <m/>
    <m/>
    <m/>
    <s v="Reemplazo"/>
    <m/>
    <s v="Gomez S - Vacaciones"/>
    <m/>
    <s v="Eventual "/>
    <m/>
    <m/>
    <s v="22 A 6 HS eventual vacaciones"/>
    <s v="SANATORIO"/>
    <d v="2026-01-27T00:00:00"/>
    <d v="2026-02-02T00:00:00"/>
    <m/>
    <m/>
    <s v="AUDREY PULIDO"/>
    <s v="$1.333.887,91  bruto /       $1.114.788,00 neto"/>
    <s v="122/75"/>
    <s v="No"/>
    <m/>
    <m/>
  </r>
  <r>
    <s v="00122"/>
    <d v="2026-01-23T00:00:00"/>
    <s v="Cerrada"/>
    <s v="Franco"/>
    <s v="Aprobada"/>
    <m/>
    <m/>
    <m/>
    <m/>
    <x v="0"/>
    <s v="Cobensil"/>
    <s v="Cobranzas"/>
    <s v="Administración y Finanzas"/>
    <s v="Comercial, ventas y cobranzas"/>
    <s v="Cobrador/a"/>
    <s v="Florencia Rodriguez"/>
    <m/>
    <x v="0"/>
    <x v="0"/>
    <m/>
    <s v="Baja"/>
    <s v="Media"/>
    <s v="Reemplazo"/>
    <m/>
    <s v="Montserrat Diaz "/>
    <m/>
    <s v="Inderminado "/>
    <m/>
    <m/>
    <s v="Lunes a Viernes de 11h a 20hs, Sábado x medio de 9 a 13hs (Full Time)"/>
    <s v="Ravignani"/>
    <d v="2026-03-13T00:00:00"/>
    <d v="2026-04-06T00:00:00"/>
    <m/>
    <m/>
    <s v="Gabriel de Jesus Villegas Hernandez"/>
    <s v="$1.264.501,68 bruto / $1.036.340,00 neto"/>
    <s v="130/75"/>
    <s v="No"/>
    <s v="No"/>
    <m/>
  </r>
  <r>
    <s v="00123"/>
    <d v="2026-01-24T00:00:00"/>
    <s v="Cerrada"/>
    <s v="Ema"/>
    <s v="Aprobada"/>
    <m/>
    <m/>
    <m/>
    <m/>
    <x v="3"/>
    <s v="CIRENDSA"/>
    <s v="Hotelería"/>
    <s v="Internación"/>
    <s v="Servicios Generales"/>
    <s v="MUCAMO/A"/>
    <s v="Valeria Dodero"/>
    <m/>
    <x v="0"/>
    <x v="0"/>
    <m/>
    <m/>
    <m/>
    <s v="Reemplazo"/>
    <m/>
    <s v="Marquez Marisa"/>
    <m/>
    <s v="Eventual "/>
    <m/>
    <m/>
    <s v="14-22 HS"/>
    <s v="SANATORIO"/>
    <d v="2026-02-11T00:00:00"/>
    <d v="2026-02-11T00:00:00"/>
    <m/>
    <m/>
    <s v="ALICIA CANDIA"/>
    <s v="$1.052.963,43  bruto /       $875.067,00 neto"/>
    <s v="122/75"/>
    <s v="No"/>
    <s v="No"/>
    <m/>
  </r>
  <r>
    <s v="00124"/>
    <d v="2026-01-24T00:00:00"/>
    <s v="Cerrada"/>
    <s v="Ema"/>
    <s v="Aprobada"/>
    <m/>
    <m/>
    <m/>
    <m/>
    <x v="3"/>
    <s v="CIRENDSA"/>
    <s v="Hotelería"/>
    <s v="Internación"/>
    <s v="Servicios Generales"/>
    <s v="MUCAMO/A"/>
    <s v="Valeria Dodero"/>
    <m/>
    <x v="0"/>
    <x v="0"/>
    <m/>
    <m/>
    <m/>
    <s v="Reemplazo"/>
    <m/>
    <s v="Aguirre A"/>
    <m/>
    <s v="Plazo Fijo"/>
    <m/>
    <m/>
    <s v="14-22 HS"/>
    <s v="SANATORIO"/>
    <d v="2026-01-30T00:00:00"/>
    <d v="2026-02-09T00:00:00"/>
    <m/>
    <m/>
    <s v="CARMEN KLOZ"/>
    <s v="$1.052.963,43  bruto /       $875.067,00 neto"/>
    <s v="122/75"/>
    <s v="No"/>
    <m/>
    <m/>
  </r>
  <r>
    <s v="00125"/>
    <d v="2026-01-24T00:00:00"/>
    <s v="Cerrada"/>
    <s v="Ema"/>
    <s v="Aprobada"/>
    <m/>
    <m/>
    <m/>
    <m/>
    <x v="3"/>
    <s v="CIRENDSA"/>
    <s v="Servicio de Alimentación"/>
    <s v="Servicios de Apoyo"/>
    <s v="Servicios Generales"/>
    <s v="PEON"/>
    <s v="Cordoba"/>
    <m/>
    <x v="0"/>
    <x v="0"/>
    <m/>
    <m/>
    <m/>
    <s v="Reemplazo"/>
    <m/>
    <s v="Gutierrez Maxi - Vacaciones"/>
    <m/>
    <s v="Eventual "/>
    <m/>
    <m/>
    <s v="ROTATIVO entre 6-14 hs/14-22 hs/22-6 hs segun cronograma"/>
    <s v="SANATORIO"/>
    <d v="2026-01-28T00:00:00"/>
    <d v="2026-02-02T00:00:00"/>
    <m/>
    <m/>
    <s v="JOSE LUIS INSFRAN"/>
    <s v="$1.053.063,43  bruto /       $875.148,00 neto"/>
    <s v="122/75"/>
    <s v="No"/>
    <m/>
    <m/>
  </r>
  <r>
    <s v="00126"/>
    <d v="2026-01-24T00:00:00"/>
    <s v="Cerrada"/>
    <s v="Ema"/>
    <s v="Aprobada"/>
    <m/>
    <m/>
    <m/>
    <m/>
    <x v="3"/>
    <s v="CIRENDSA"/>
    <s v="Hotelería"/>
    <s v="Internación"/>
    <s v="Servicios Generales"/>
    <s v="MUCAMO/A"/>
    <s v="Valeria Dodero"/>
    <m/>
    <x v="0"/>
    <x v="0"/>
    <m/>
    <s v="Baja"/>
    <s v="Media"/>
    <s v="Reemplazo"/>
    <m/>
    <s v="Jerez Tatiana"/>
    <m/>
    <s v="Plazo Fijo"/>
    <m/>
    <m/>
    <s v="14 A 22 HS"/>
    <s v="SANATORIO"/>
    <d v="2026-03-03T00:00:00"/>
    <d v="2026-03-09T00:00:00"/>
    <m/>
    <m/>
    <s v="BRISA CONGO"/>
    <s v="$1.052.963,43 bruto /         $875.067,00 neto"/>
    <s v="122/75"/>
    <s v="No"/>
    <m/>
    <m/>
  </r>
  <r>
    <s v="00127"/>
    <d v="2026-01-26T00:00:00"/>
    <s v="Cerrada"/>
    <s v="Franco"/>
    <s v="Aprobada"/>
    <m/>
    <m/>
    <m/>
    <m/>
    <x v="5"/>
    <m/>
    <s v="Mantenimiento"/>
    <s v="Servicios de Apoyo"/>
    <s v="Mantenimiento y obras"/>
    <s v="OFICIAL DE MANTENIMIENTO"/>
    <s v="Federico Carrasquera"/>
    <m/>
    <x v="0"/>
    <x v="0"/>
    <m/>
    <s v="Media"/>
    <s v="Alta "/>
    <s v="Reemplazo"/>
    <m/>
    <s v="Roberto Gonzalez"/>
    <m/>
    <s v="Inderminado "/>
    <m/>
    <m/>
    <s v="L/V de 8-16 / S-9-13 hs"/>
    <s v="CMV"/>
    <d v="2026-03-10T00:00:00"/>
    <d v="2026-03-13T00:00:00"/>
    <s v="Externa"/>
    <m/>
    <s v="Ignacio Rupchich"/>
    <s v="Bruto: 1533347,52"/>
    <s v="Comercio 130/75"/>
    <s v="No"/>
    <s v="No"/>
    <s v="Se entrevistaron 7 personas, pasa a preo Marcelo Garavilli el 3-02, el 5-02 el candidato se da de baja por otra mejor oferta laboral. se entrevistaron 3 personas, pasa a preo Lucas Barraza 20-02"/>
  </r>
  <r>
    <s v="00128"/>
    <d v="2026-01-26T00:00:00"/>
    <s v="Cerrada"/>
    <s v="Ema"/>
    <s v="Cancelada"/>
    <m/>
    <m/>
    <m/>
    <m/>
    <x v="3"/>
    <m/>
    <s v="Servicio de Alimentación"/>
    <s v="Servicios de Apoyo"/>
    <s v="Servicios Generales"/>
    <s v="PEON"/>
    <s v="Cordoba"/>
    <m/>
    <x v="1"/>
    <x v="1"/>
    <m/>
    <m/>
    <m/>
    <s v="Reemplazo"/>
    <m/>
    <s v="Ortiz L"/>
    <m/>
    <s v="Inderminado "/>
    <m/>
    <m/>
    <m/>
    <m/>
    <m/>
    <m/>
    <m/>
    <m/>
    <m/>
    <m/>
    <m/>
    <m/>
    <m/>
    <m/>
  </r>
  <r>
    <s v="00129"/>
    <d v="2026-01-30T00:00:00"/>
    <s v="Cerrada"/>
    <s v="Ema"/>
    <s v="Aprobada"/>
    <m/>
    <m/>
    <m/>
    <m/>
    <x v="3"/>
    <s v="CIRENDSA"/>
    <s v="Hotelería"/>
    <s v="Internación"/>
    <s v="Servicios Generales"/>
    <s v="MUCAMO/A"/>
    <s v="Valeria Dodero"/>
    <m/>
    <x v="0"/>
    <x v="0"/>
    <m/>
    <s v="Baja"/>
    <s v="Media"/>
    <s v="Reemplazo"/>
    <m/>
    <s v="Baptista G"/>
    <m/>
    <s v="Inderminado "/>
    <m/>
    <m/>
    <s v="14 A 22 HS"/>
    <s v="SANATORIO"/>
    <d v="2026-03-23T00:00:00"/>
    <d v="2026-04-08T00:00:00"/>
    <m/>
    <m/>
    <s v="MARIA VICTORIA PEREZ"/>
    <s v="$1.052.963,43 bruto /         $875.067,00 neto"/>
    <s v="122/75"/>
    <s v="No"/>
    <m/>
    <s v="No se presenta a firmar la postulante"/>
  </r>
  <r>
    <s v="00130"/>
    <d v="2026-01-31T00:00:00"/>
    <s v="Cerrada"/>
    <s v="Ema"/>
    <s v="Aprobada"/>
    <m/>
    <m/>
    <m/>
    <m/>
    <x v="3"/>
    <s v="CIRENDSA"/>
    <s v="Admisión"/>
    <s v="Consultorios Externos"/>
    <s v="Administrativo/a"/>
    <s v="Administrativo/a de Consultoríos Externos"/>
    <s v="Gomez"/>
    <m/>
    <x v="0"/>
    <x v="0"/>
    <m/>
    <s v="Baja"/>
    <s v="Media"/>
    <s v="Reemplazo"/>
    <m/>
    <s v="Molina J"/>
    <m/>
    <s v="Inderminado "/>
    <m/>
    <m/>
    <s v="Lunes a Viernes 14 a 20 hs. Sábado por medio 7 a 13 hs"/>
    <s v="SANATORIO"/>
    <d v="2026-03-03T00:00:00"/>
    <d v="2026-03-09T00:00:00"/>
    <m/>
    <m/>
    <s v="VICTORIA OCHOA"/>
    <s v="$842.805,08  bruto /       $697.077,50 neto"/>
    <s v="122/75"/>
    <s v="No"/>
    <m/>
    <m/>
  </r>
  <r>
    <s v="00131"/>
    <d v="2026-01-31T00:00:00"/>
    <s v="Cerrada"/>
    <s v="Ema"/>
    <s v="Aprobada"/>
    <m/>
    <m/>
    <m/>
    <m/>
    <x v="3"/>
    <s v="CIRENDSA"/>
    <s v="Admisión"/>
    <s v="Consultorios Externos"/>
    <s v="Administrativo/a"/>
    <s v="Administrativo/a de Consultoríos Externos"/>
    <s v="Gomez"/>
    <m/>
    <x v="0"/>
    <x v="0"/>
    <m/>
    <s v="Baja"/>
    <s v="Media"/>
    <s v="Reemplazo"/>
    <m/>
    <s v="Montero M"/>
    <m/>
    <s v="Inderminado "/>
    <m/>
    <m/>
    <s v="Lunes a Viernes 14 a 20 hs. Sábado por medio 7 a 13 hs"/>
    <s v="SANATORIO"/>
    <d v="2026-03-03T00:00:00"/>
    <d v="2026-03-09T00:00:00"/>
    <m/>
    <m/>
    <s v="MARTINA TERRAZAS"/>
    <s v="$842.805,08  bruto /       $697.077,50 neto"/>
    <s v="122/75"/>
    <s v="No"/>
    <m/>
    <m/>
  </r>
  <r>
    <s v="00132"/>
    <d v="2026-02-01T00:00:00"/>
    <s v="Cerrada"/>
    <s v="Ema"/>
    <s v="Aprobada"/>
    <m/>
    <m/>
    <m/>
    <m/>
    <x v="3"/>
    <s v="CIRENDSA"/>
    <s v="Enfermeria"/>
    <s v="INTERNACION"/>
    <s v="Asistencial/Enfermería"/>
    <s v="Enfermero/a de Internación"/>
    <s v="Noelia Alvez"/>
    <m/>
    <x v="0"/>
    <x v="0"/>
    <m/>
    <s v="Baja"/>
    <s v="Alta "/>
    <s v="Reemplazo"/>
    <m/>
    <s v="Hinojosa Wendy"/>
    <m/>
    <s v="Inderminado "/>
    <m/>
    <m/>
    <s v="TT - 14 a 22 hs"/>
    <s v="SANATORIO"/>
    <d v="2026-03-29T00:00:00"/>
    <d v="2026-04-08T00:00:00"/>
    <m/>
    <m/>
    <s v="SHERLYN VALLE"/>
    <s v=" $1.223.571,44 bruto /_x0009_ $1.024.328,50 neto"/>
    <s v="122/75"/>
    <s v="No"/>
    <s v="No"/>
    <s v="CM TT"/>
  </r>
  <r>
    <s v="00133"/>
    <d v="2026-02-02T00:00:00"/>
    <s v="Cerrada"/>
    <s v="Ema"/>
    <s v="Aprobada"/>
    <m/>
    <m/>
    <m/>
    <m/>
    <x v="3"/>
    <s v="CIRENDSA"/>
    <s v="Hotelería"/>
    <s v="Internación"/>
    <s v="Servicios Generales"/>
    <s v="MUCAMO/A"/>
    <s v="Valeria Dodero"/>
    <m/>
    <x v="0"/>
    <x v="0"/>
    <m/>
    <m/>
    <m/>
    <s v="Reemplazo"/>
    <m/>
    <s v="Lic prolongada Mareque Andrea"/>
    <m/>
    <s v="Eventual "/>
    <m/>
    <m/>
    <s v="14 A 22 HS. Eventual por licencia prolongada de 159156 ANDREA MAREQUE"/>
    <s v="SANATORIO"/>
    <m/>
    <d v="2026-02-11T00:00:00"/>
    <m/>
    <m/>
    <s v="MARIA BELEN RIOS"/>
    <s v="$1.052.963,43 bruto /        $875.067,00 neto"/>
    <s v="122/75"/>
    <s v="No"/>
    <s v="No"/>
    <m/>
  </r>
  <r>
    <s v="00134"/>
    <d v="2026-02-02T00:00:00"/>
    <s v="Cerrada"/>
    <s v="Ema"/>
    <s v="Aprobada"/>
    <m/>
    <m/>
    <m/>
    <m/>
    <x v="3"/>
    <s v="CIRENDSA"/>
    <s v="Hotelería"/>
    <s v="Internación"/>
    <s v="Servicios Generales"/>
    <s v="MUCAMO/A"/>
    <s v="Valeria Dodero"/>
    <m/>
    <x v="0"/>
    <x v="0"/>
    <m/>
    <m/>
    <m/>
    <s v="Reemplazo"/>
    <m/>
    <s v="Lic prolongada Robles Marta"/>
    <m/>
    <s v="Eventual "/>
    <m/>
    <m/>
    <s v="14 A 22 HS. Eventual por licencia prolongada de 120019 ROBLES MARTA"/>
    <s v="SANATORIO"/>
    <d v="2026-02-19T00:00:00"/>
    <d v="2026-02-23T00:00:00"/>
    <m/>
    <m/>
    <s v="AYELEN SANCHEZ"/>
    <s v="$1.052.963,43 bruto /        $875.067,00 neto"/>
    <s v="122/75"/>
    <s v="No"/>
    <s v="No"/>
    <m/>
  </r>
  <r>
    <s v="00135"/>
    <d v="2026-02-02T00:00:00"/>
    <s v="Cerrada"/>
    <s v="Ema"/>
    <s v="Aprobada"/>
    <m/>
    <m/>
    <m/>
    <m/>
    <x v="3"/>
    <s v="CIRENDSA"/>
    <s v="Hotelería"/>
    <s v="Internación"/>
    <s v="Servicios Generales"/>
    <s v="MUCAMO/A"/>
    <s v="Valeria Dodero"/>
    <m/>
    <x v="0"/>
    <x v="0"/>
    <m/>
    <m/>
    <m/>
    <s v="Reemplazo"/>
    <m/>
    <s v="Lic prolongada Haedo Evelyn"/>
    <m/>
    <s v="Eventual "/>
    <m/>
    <m/>
    <s v="14 A 22 HS. Eventual por licencia prolongada de 157990 HAEDO EVELYN"/>
    <s v="SANATORIO"/>
    <d v="2026-02-19T00:00:00"/>
    <d v="2026-02-23T00:00:00"/>
    <m/>
    <m/>
    <s v="FLORENCIA DOS SANTOS"/>
    <s v="$1.052.963,43 bruto /        $875.067,00 neto"/>
    <s v="122/75"/>
    <s v="No"/>
    <s v="No"/>
    <m/>
  </r>
  <r>
    <s v="00136"/>
    <d v="2026-02-02T00:00:00"/>
    <s v="Cerrada"/>
    <s v="Ema"/>
    <s v="Aprobada"/>
    <m/>
    <m/>
    <m/>
    <m/>
    <x v="3"/>
    <s v="CIRENDSA"/>
    <s v="Hotelería"/>
    <s v="Internación"/>
    <s v="Servicios Generales"/>
    <s v="MUCAMO/A"/>
    <s v="Valeria Dodero"/>
    <m/>
    <x v="0"/>
    <x v="0"/>
    <m/>
    <m/>
    <m/>
    <s v="Reemplazo"/>
    <m/>
    <s v="Lic prolongada Quenta Gabriela"/>
    <m/>
    <s v="Eventual "/>
    <m/>
    <m/>
    <s v="14 A 22 HS. Eventual por licencia prolongada de 166554 QUENTA GABRIELA"/>
    <s v="SANATORIO"/>
    <d v="2026-02-19T00:00:00"/>
    <d v="2026-02-23T00:00:00"/>
    <m/>
    <m/>
    <s v="ELIZABETH VALLEJO"/>
    <s v="$1.052.963,43 bruto /        $875.067,00 neto"/>
    <s v="122/75"/>
    <s v="No"/>
    <s v="No"/>
    <m/>
  </r>
  <r>
    <s v="00137"/>
    <d v="2026-02-02T00:00:00"/>
    <s v="Cerrada"/>
    <s v="Ema"/>
    <s v="Aprobada"/>
    <m/>
    <m/>
    <m/>
    <m/>
    <x v="3"/>
    <s v="CIRENDSA"/>
    <s v="Hotelería"/>
    <s v="Internación"/>
    <s v="Servicios Generales"/>
    <s v="MUCAMO/A"/>
    <s v="Valeria Dodero"/>
    <m/>
    <x v="0"/>
    <x v="0"/>
    <m/>
    <m/>
    <m/>
    <s v="Reemplazo"/>
    <m/>
    <s v="Orellana Leonor"/>
    <m/>
    <s v="Eventual "/>
    <m/>
    <m/>
    <s v="14 A 22 HS"/>
    <s v="SANATORIO"/>
    <d v="2026-02-11T00:00:00"/>
    <d v="2026-02-11T00:00:00"/>
    <m/>
    <m/>
    <s v="ROMINA SARMIENTO"/>
    <s v="$1.052.963,43  bruto /        $875.067,00 neto"/>
    <s v="122/75"/>
    <s v="No"/>
    <s v="No"/>
    <m/>
  </r>
  <r>
    <s v="00138"/>
    <d v="2026-02-02T00:00:00"/>
    <s v="Cerrada"/>
    <s v="Franco"/>
    <s v="Aprobada"/>
    <m/>
    <s v="No"/>
    <s v="Si"/>
    <m/>
    <x v="3"/>
    <s v="CIRENDSA"/>
    <s v="Sistemas"/>
    <s v="Sistemas"/>
    <s v="Analista IT"/>
    <s v="Soporte Tecnico"/>
    <s v="Poss"/>
    <m/>
    <x v="0"/>
    <x v="0"/>
    <m/>
    <s v="Media"/>
    <m/>
    <s v="Reemplazo"/>
    <m/>
    <s v="Villegas F"/>
    <m/>
    <s v="Inderminado "/>
    <m/>
    <m/>
    <s v="Lunes a Viernes 8 a 16 hs. Sábado por medio 9 a 13 hs. Feriado rotativo"/>
    <s v="SANATORIO"/>
    <d v="2026-03-12T00:00:00"/>
    <d v="2026-03-23T00:00:00"/>
    <s v="Externa"/>
    <m/>
    <s v="JOSE EZEQUIEL GONZALEZ"/>
    <s v=" $1.593.675,69 bruto /_x0009_ $1.327.814,00 neto"/>
    <s v="122/75"/>
    <s v="No"/>
    <s v="No"/>
    <m/>
  </r>
  <r>
    <s v="00139"/>
    <d v="2026-02-02T00:00:00"/>
    <n v="85"/>
    <s v="Ema"/>
    <s v="Aprobada"/>
    <m/>
    <m/>
    <m/>
    <m/>
    <x v="3"/>
    <s v="CIRENDSA"/>
    <s v="Enfermeria"/>
    <s v="Internación"/>
    <s v="Asistencial/Enfermería"/>
    <s v="Enfermero/a de Internación"/>
    <s v="Noelia Alvez"/>
    <m/>
    <x v="3"/>
    <x v="6"/>
    <d v="2026-05-04T00:00:00"/>
    <s v="Baja"/>
    <s v="Baja "/>
    <s v="Reemplazo"/>
    <n v="167700"/>
    <s v="Chavarria Ayelen"/>
    <m/>
    <s v="Inderminado "/>
    <m/>
    <m/>
    <s v="6 a 14 hs"/>
    <s v="SANATORIO"/>
    <d v="2026-04-20T00:00:00"/>
    <d v="2026-05-04T00:00:00"/>
    <m/>
    <m/>
    <s v="Luz Balbidares"/>
    <s v=" $1.303.213,92 bruto /_x0009_ $1.093.671,00 neto"/>
    <s v="122/75"/>
    <m/>
    <m/>
    <s v="CM TM"/>
  </r>
  <r>
    <s v="00140"/>
    <d v="2026-02-02T00:00:00"/>
    <s v="Cerrada"/>
    <s v="Franco"/>
    <s v="Cancelada"/>
    <m/>
    <m/>
    <m/>
    <m/>
    <x v="5"/>
    <m/>
    <s v="Liquidación de Prestaciones"/>
    <s v="Administración y Finanzas"/>
    <s v="Administrativo/a"/>
    <s v="Liquidador/a"/>
    <s v="Valeria Ríos"/>
    <m/>
    <x v="4"/>
    <x v="5"/>
    <m/>
    <m/>
    <m/>
    <s v="Reemplazo"/>
    <m/>
    <s v="Elena Gladys Negri"/>
    <m/>
    <s v="Inderminado "/>
    <m/>
    <m/>
    <m/>
    <m/>
    <m/>
    <m/>
    <m/>
    <m/>
    <m/>
    <m/>
    <m/>
    <m/>
    <m/>
    <m/>
  </r>
  <r>
    <s v="00141"/>
    <d v="2026-02-02T00:00:00"/>
    <s v="Cerrada"/>
    <s v="Franco"/>
    <s v="Cancelada"/>
    <m/>
    <m/>
    <m/>
    <m/>
    <x v="4"/>
    <m/>
    <s v="Recupero SUR"/>
    <s v="Administración y Finanzas"/>
    <s v="Administrativo/a"/>
    <s v="Recupero SUR"/>
    <s v="Valeria Ríos"/>
    <m/>
    <x v="4"/>
    <x v="5"/>
    <m/>
    <m/>
    <m/>
    <s v="Reemplazo"/>
    <m/>
    <s v="Andres Piercamelli"/>
    <m/>
    <s v="Inderminado "/>
    <m/>
    <m/>
    <m/>
    <m/>
    <m/>
    <m/>
    <m/>
    <m/>
    <m/>
    <m/>
    <m/>
    <m/>
    <m/>
    <m/>
  </r>
  <r>
    <s v="00142"/>
    <d v="2026-02-02T00:00:00"/>
    <s v="Cerrada"/>
    <s v="Franco"/>
    <s v="Cancelada"/>
    <m/>
    <m/>
    <m/>
    <m/>
    <x v="4"/>
    <m/>
    <s v="Liquidación de Prestaciones"/>
    <s v="Administración y Finanzas"/>
    <s v="Administrativo/a"/>
    <s v="Liquidador/a"/>
    <s v="Valeria Ríos"/>
    <m/>
    <x v="4"/>
    <x v="5"/>
    <m/>
    <m/>
    <m/>
    <s v="Reemplazo"/>
    <m/>
    <s v="Micaela Fernandez"/>
    <m/>
    <s v="Inderminado "/>
    <m/>
    <m/>
    <m/>
    <m/>
    <m/>
    <m/>
    <m/>
    <m/>
    <m/>
    <m/>
    <m/>
    <m/>
    <m/>
    <m/>
  </r>
  <r>
    <s v="00143"/>
    <d v="2026-02-02T00:00:00"/>
    <s v="Cerrada"/>
    <s v="Franco"/>
    <s v="Cancelada"/>
    <m/>
    <m/>
    <m/>
    <m/>
    <x v="4"/>
    <m/>
    <s v="Liquidación de Prestaciones"/>
    <s v="Administración y Finanzas"/>
    <s v="Administrativo/a"/>
    <s v="Liquidador/a"/>
    <s v="Valeria Ríos"/>
    <m/>
    <x v="4"/>
    <x v="5"/>
    <m/>
    <m/>
    <m/>
    <s v="Reemplazo"/>
    <m/>
    <s v="Camila Orlando/ Arnes Pinto"/>
    <m/>
    <s v="Inderminado "/>
    <m/>
    <m/>
    <m/>
    <m/>
    <m/>
    <m/>
    <m/>
    <m/>
    <m/>
    <m/>
    <m/>
    <m/>
    <m/>
    <m/>
  </r>
  <r>
    <s v="00144"/>
    <d v="2026-02-03T00:00:00"/>
    <s v="Cerrada"/>
    <s v="Franco"/>
    <s v="Aprobada"/>
    <m/>
    <m/>
    <m/>
    <m/>
    <x v="0"/>
    <s v="Bristol Medicine SRL"/>
    <s v="Ventas Retail"/>
    <s v="Comercial"/>
    <s v="Comercial, ventas y cobranzas"/>
    <s v="VENDEDOR/A"/>
    <s v="Serafin"/>
    <s v="Vanesa Serafin "/>
    <x v="0"/>
    <x v="0"/>
    <d v="2026-03-19T00:00:00"/>
    <s v="Baja"/>
    <s v="Media"/>
    <s v="Reemplazo"/>
    <m/>
    <s v="GALLO GEREZ, SABRINA NOELIA (1092)"/>
    <m/>
    <s v="Inderminado "/>
    <m/>
    <m/>
    <s v="Lunes a Viernes de 10 a 17hs"/>
    <s v="Bristol - Céspedes"/>
    <d v="2026-03-16T00:00:00"/>
    <d v="2026-03-19T00:00:00"/>
    <s v="Externa"/>
    <s v="Consultora"/>
    <s v=" Alejandro Arroyo "/>
    <s v=" $961.576,34 Bruto"/>
    <s v="108/75"/>
    <s v="No"/>
    <m/>
    <m/>
  </r>
  <r>
    <s v="00145"/>
    <d v="2026-02-04T00:00:00"/>
    <s v="Cerrada"/>
    <s v="Juanpi"/>
    <s v="Aprobada"/>
    <m/>
    <m/>
    <m/>
    <m/>
    <x v="4"/>
    <m/>
    <s v="Medios Digitales"/>
    <s v="Administración y Finanzas"/>
    <s v="Analista IT"/>
    <s v="Ing. promt y agentes de IA"/>
    <s v="Christian Cieri"/>
    <m/>
    <x v="4"/>
    <x v="5"/>
    <m/>
    <s v="Alta"/>
    <s v="Baja "/>
    <s v="Apertura de puesto"/>
    <m/>
    <m/>
    <m/>
    <s v="Inderminado "/>
    <m/>
    <m/>
    <m/>
    <m/>
    <m/>
    <m/>
    <m/>
    <m/>
    <m/>
    <m/>
    <m/>
    <m/>
    <m/>
    <m/>
  </r>
  <r>
    <s v="00146"/>
    <d v="2026-02-04T00:00:00"/>
    <s v="Cerrada"/>
    <s v="Juanpi"/>
    <s v="Aprobada"/>
    <m/>
    <m/>
    <m/>
    <m/>
    <x v="4"/>
    <m/>
    <s v="Medios Digitales"/>
    <s v="Administración y Finanzas"/>
    <s v="Analista"/>
    <s v="Analista de Producto Digital "/>
    <s v="Christian Cieri"/>
    <m/>
    <x v="4"/>
    <x v="5"/>
    <m/>
    <s v="Media"/>
    <s v="Baja "/>
    <s v="Reemplazo"/>
    <m/>
    <s v="Melisa Garcia"/>
    <m/>
    <s v="Inderminado "/>
    <m/>
    <m/>
    <m/>
    <m/>
    <m/>
    <m/>
    <m/>
    <m/>
    <m/>
    <m/>
    <m/>
    <m/>
    <m/>
    <m/>
  </r>
  <r>
    <s v="00147"/>
    <d v="2026-02-05T00:00:00"/>
    <s v="Cerrada"/>
    <s v="Ema"/>
    <s v="Aprobada"/>
    <m/>
    <m/>
    <m/>
    <m/>
    <x v="3"/>
    <s v="CIRENDSA"/>
    <s v="Hotelería"/>
    <s v="Internación"/>
    <s v="Servicios Generales"/>
    <s v="MUCAMO/A"/>
    <s v="Valeria Dodero"/>
    <m/>
    <x v="0"/>
    <x v="0"/>
    <m/>
    <m/>
    <m/>
    <s v="Reemplazo"/>
    <m/>
    <s v="Lic prolongada Araujo Fiorella"/>
    <m/>
    <s v="Eventual "/>
    <m/>
    <m/>
    <s v="14 A 22 HS Eventual por licencia prolongada de 163142 ARAUJO FIORELLA"/>
    <s v="SANATORIO"/>
    <d v="2026-02-19T00:00:00"/>
    <d v="2026-02-23T00:00:00"/>
    <m/>
    <m/>
    <s v="ANABELLA SEGOVIA"/>
    <s v="$1.052.963,43 bruto /        $875.067,00 neto"/>
    <s v="122/75"/>
    <s v="No"/>
    <m/>
    <m/>
  </r>
  <r>
    <s v="00148"/>
    <d v="2026-02-05T00:00:00"/>
    <s v="Cerrada"/>
    <s v="Ema"/>
    <s v="Aprobada"/>
    <m/>
    <m/>
    <m/>
    <m/>
    <x v="3"/>
    <s v="CIRENDSA"/>
    <s v="Enfermeria"/>
    <s v="Terapia Intensiva"/>
    <s v="Asistencial/Enfermería"/>
    <s v="Enfermero/a de Terapia Intensiva"/>
    <s v="Alvez"/>
    <m/>
    <x v="0"/>
    <x v="0"/>
    <m/>
    <m/>
    <m/>
    <s v="Reemplazo"/>
    <m/>
    <s v="Lorena Quisbert Urias"/>
    <m/>
    <s v="Plazo Fijo"/>
    <m/>
    <m/>
    <s v="14 A 22 HS"/>
    <s v="SANATORIO"/>
    <d v="2026-02-19T00:00:00"/>
    <d v="2026-02-23T00:00:00"/>
    <m/>
    <m/>
    <s v="SERGIO MEDRANO"/>
    <s v="$1.444.204,15 bruto /        $1.205.247,26 neto"/>
    <s v="122/75"/>
    <s v="No"/>
    <m/>
    <m/>
  </r>
  <r>
    <s v="00149"/>
    <d v="2026-02-06T00:00:00"/>
    <s v="Cerrada"/>
    <s v="Ema"/>
    <s v="Aprobada"/>
    <m/>
    <m/>
    <m/>
    <m/>
    <x v="3"/>
    <m/>
    <s v="Hotelería"/>
    <s v="Internación"/>
    <s v="Servicios Generales"/>
    <s v="MUCAMO/A"/>
    <s v="Valeria Dodero"/>
    <m/>
    <x v="0"/>
    <x v="0"/>
    <m/>
    <s v="Baja"/>
    <s v="Media"/>
    <s v="Reemplazo"/>
    <m/>
    <s v="Malaga Yanina"/>
    <m/>
    <s v="Inderminado "/>
    <m/>
    <m/>
    <s v="14 A 22 HS"/>
    <s v="SANATORIO"/>
    <d v="2026-03-23T00:00:00"/>
    <d v="2026-04-08T00:00:00"/>
    <m/>
    <m/>
    <s v="Gina Yngargiola"/>
    <s v="$1.052.963,43 bruto /        $875.067,00 neto"/>
    <s v="122/75"/>
    <s v="No"/>
    <m/>
    <m/>
  </r>
  <r>
    <s v="00150"/>
    <d v="2026-02-06T00:00:00"/>
    <s v="Cerrada"/>
    <s v="Ema"/>
    <s v="Aprobada"/>
    <m/>
    <m/>
    <m/>
    <m/>
    <x v="3"/>
    <m/>
    <s v="Enfermeria"/>
    <s v="Internación"/>
    <s v="Asistencial/Enfermería"/>
    <s v="Enfermero/a de Internación"/>
    <s v="Noelia Alvez"/>
    <m/>
    <x v="0"/>
    <x v="0"/>
    <m/>
    <s v="Baja"/>
    <m/>
    <s v="Reemplazo"/>
    <m/>
    <s v="Carbajal Gabriela"/>
    <m/>
    <s v="Inderminado "/>
    <m/>
    <m/>
    <s v="14 A 22 HS"/>
    <s v="SANATORIO"/>
    <d v="2026-03-11T00:00:00"/>
    <d v="2026-03-20T00:00:00"/>
    <m/>
    <m/>
    <s v="KEVIN CUIZA"/>
    <s v=" $1.223.571,44 bruto /_x0009_ $1.024.328,50 neto"/>
    <s v="122/75"/>
    <s v="No"/>
    <s v="No"/>
    <s v="CM TT"/>
  </r>
  <r>
    <s v="00151"/>
    <d v="2026-02-09T00:00:00"/>
    <s v="Cerrada"/>
    <s v="Ema"/>
    <s v="Aprobada"/>
    <m/>
    <m/>
    <m/>
    <m/>
    <x v="4"/>
    <s v="Healthnes"/>
    <s v="Contact Center"/>
    <s v="Operaciones"/>
    <s v="Administrativo/a"/>
    <s v="Operador call center"/>
    <s v="Agostina Zukowski"/>
    <m/>
    <x v="0"/>
    <x v="0"/>
    <m/>
    <m/>
    <m/>
    <s v="Reemplazo"/>
    <m/>
    <s v="Marquez M"/>
    <m/>
    <s v="Plazo Fijo"/>
    <m/>
    <m/>
    <s v="Lunes a Viernes 13 a 18 hs. Sábados 9 a 14 hs (25 hs)"/>
    <s v="CONTACT CENTER"/>
    <d v="2026-02-19T00:00:00"/>
    <d v="2026-02-23T00:00:00"/>
    <m/>
    <m/>
    <s v="JUANA D'ANDREA"/>
    <s v="$710.649,96 bruto / $567.231,00 neto"/>
    <s v="130/75"/>
    <s v="No"/>
    <s v="No"/>
    <m/>
  </r>
  <r>
    <s v="00152"/>
    <d v="2026-02-09T00:00:00"/>
    <s v="Cerrada"/>
    <s v="Ema"/>
    <s v="Aprobada"/>
    <m/>
    <m/>
    <m/>
    <m/>
    <x v="3"/>
    <m/>
    <s v="Enfermeria"/>
    <s v="Internación"/>
    <s v="Liderazgo"/>
    <s v="Supervisor/a de Internación"/>
    <s v="Alvez"/>
    <m/>
    <x v="0"/>
    <x v="0"/>
    <m/>
    <s v="Media"/>
    <m/>
    <s v="Reemplazo"/>
    <m/>
    <s v="Frias Lorena"/>
    <m/>
    <s v="Inderminado "/>
    <m/>
    <m/>
    <m/>
    <s v="SANATORIO"/>
    <m/>
    <d v="2026-04-01T00:00:00"/>
    <s v="Interna"/>
    <s v="Promoción"/>
    <s v="Jully Aranibar"/>
    <m/>
    <m/>
    <m/>
    <m/>
    <s v="2 perfiles internos identificados "/>
  </r>
  <r>
    <s v="00153"/>
    <d v="2026-02-09T00:00:00"/>
    <s v="Cerrada"/>
    <s v="Franco"/>
    <s v="Aprobada"/>
    <m/>
    <m/>
    <m/>
    <m/>
    <x v="0"/>
    <s v="Bristol Medicine SRL"/>
    <s v="Ventas Retail"/>
    <s v="Comercial"/>
    <s v="Comercial, ventas y cobranzas"/>
    <s v="VENDEDOR/A"/>
    <s v="Serafin"/>
    <s v="Vanesa Serafin "/>
    <x v="0"/>
    <x v="0"/>
    <d v="2026-03-19T00:00:00"/>
    <s v="Baja"/>
    <s v="Media"/>
    <s v="Reemplazo"/>
    <m/>
    <s v="ROMERO, VIRGINIA IVON (169843)"/>
    <m/>
    <s v="Inderminado "/>
    <m/>
    <m/>
    <s v="Lunes a Viernes de 10 a 17hs"/>
    <s v="Bristol - Céspedes"/>
    <d v="2026-03-16T00:00:00"/>
    <d v="2026-03-19T00:00:00"/>
    <s v="Externa"/>
    <s v="Consultora"/>
    <s v=" Rodrigo González "/>
    <s v=" $961.576,34 Bruto"/>
    <s v="108/75"/>
    <s v="No"/>
    <m/>
    <m/>
  </r>
  <r>
    <s v="00154"/>
    <d v="2026-02-09T00:00:00"/>
    <s v="Cerrada"/>
    <s v="Juanpi"/>
    <s v="Aprobada"/>
    <m/>
    <s v="Si"/>
    <s v="Si"/>
    <m/>
    <x v="4"/>
    <m/>
    <s v="MARKETING"/>
    <s v="Servicios de Apoyo"/>
    <s v="Analista"/>
    <s v="BRAND MANAGER"/>
    <s v="Pachelo "/>
    <m/>
    <x v="4"/>
    <x v="5"/>
    <m/>
    <m/>
    <m/>
    <s v="Apertura de puesto"/>
    <m/>
    <m/>
    <m/>
    <s v="Inderminado "/>
    <m/>
    <m/>
    <m/>
    <m/>
    <m/>
    <m/>
    <m/>
    <m/>
    <m/>
    <m/>
    <m/>
    <m/>
    <m/>
    <m/>
  </r>
  <r>
    <s v="00155"/>
    <d v="2026-02-11T00:00:00"/>
    <s v="Cerrada"/>
    <s v="Franco"/>
    <s v="Aprobada"/>
    <m/>
    <s v="No"/>
    <m/>
    <m/>
    <x v="7"/>
    <m/>
    <s v="Atención al Público"/>
    <s v="Farmacia Lamaité"/>
    <s v="Administrativo/a"/>
    <s v="CAJERO/A"/>
    <s v="Sergio Bernigaud"/>
    <m/>
    <x v="0"/>
    <x v="0"/>
    <d v="2026-04-06T00:00:00"/>
    <s v="Baja"/>
    <s v="Media"/>
    <s v="Reemplazo"/>
    <m/>
    <s v="Lucia Toschi "/>
    <m/>
    <s v="Inderminado "/>
    <m/>
    <m/>
    <s v="Lunes a Viernes 16 a 20hs / Domingos 9 a 21hs"/>
    <s v="Farmacia"/>
    <d v="2026-03-16T00:00:00"/>
    <d v="2026-04-06T00:00:00"/>
    <s v="Externa"/>
    <m/>
    <s v="Rossana Contreras"/>
    <s v="$1.373.058,07 bruto / $1.118.880,00 neto"/>
    <s v="Adef - 414/05"/>
    <s v="No"/>
    <s v="No"/>
    <s v="Empleado de mostrador. 2 candidatos en preoc"/>
  </r>
  <r>
    <s v="00156"/>
    <d v="2026-02-11T00:00:00"/>
    <s v="Cerrada"/>
    <s v="Ema"/>
    <s v="Aprobada"/>
    <m/>
    <m/>
    <m/>
    <m/>
    <x v="3"/>
    <s v="CIRENDSA"/>
    <s v="Hotelería"/>
    <s v="Internación"/>
    <s v="Servicios Generales"/>
    <s v="MUCAMO/A"/>
    <s v="Valeria Dodero"/>
    <m/>
    <x v="0"/>
    <x v="0"/>
    <m/>
    <s v="Baja"/>
    <m/>
    <s v="Reemplazo"/>
    <m/>
    <s v="Kloz Carmen"/>
    <m/>
    <s v="Inderminado "/>
    <m/>
    <m/>
    <s v="14 A 22 HS "/>
    <s v="SANATORIO"/>
    <d v="2026-03-23T00:00:00"/>
    <d v="2026-04-08T00:00:00"/>
    <m/>
    <m/>
    <s v="SOLEDAD CUEVAS"/>
    <s v=" $1.052.963,43 bruto /_x0009_ $875.067,00 neto"/>
    <s v="122/75"/>
    <s v="No"/>
    <s v="No"/>
    <m/>
  </r>
  <r>
    <s v="00157"/>
    <d v="2026-02-11T00:00:00"/>
    <s v="Cerrada"/>
    <s v="Ema"/>
    <s v="Aprobada"/>
    <m/>
    <m/>
    <m/>
    <m/>
    <x v="3"/>
    <s v="CIRENDSA"/>
    <s v="Admisión"/>
    <s v="Consultorios Externos"/>
    <s v="Administrativo/a"/>
    <s v="Administrativo/a de Consultoríos Externos"/>
    <s v="Gomez"/>
    <m/>
    <x v="0"/>
    <x v="0"/>
    <m/>
    <s v="Baja"/>
    <s v="Media"/>
    <s v="Reemplazo"/>
    <m/>
    <s v="Romina Barrera"/>
    <m/>
    <s v="Inderminado "/>
    <m/>
    <m/>
    <s v=" Lu a Vie 14 a 20 hs - Sabado x medio 07 a 13 hs "/>
    <s v="SANATORIO"/>
    <m/>
    <d v="2026-03-23T00:00:00"/>
    <m/>
    <m/>
    <s v="ALDANA MARECO"/>
    <s v=" $842.805,08 bruto /_x0009_ $697.077,50 neto"/>
    <s v="122/75"/>
    <s v="No"/>
    <s v="No"/>
    <m/>
  </r>
  <r>
    <s v="00158"/>
    <d v="2026-02-12T00:00:00"/>
    <s v="Cerrada"/>
    <s v="Ema"/>
    <s v="Aprobada"/>
    <m/>
    <m/>
    <m/>
    <m/>
    <x v="3"/>
    <s v="CIRENDSA"/>
    <s v="Cirugía"/>
    <s v="Quirófano"/>
    <s v="Asistencial/Otros"/>
    <s v="INSTRUMENTADOR/A"/>
    <s v="Di Franco"/>
    <m/>
    <x v="0"/>
    <x v="0"/>
    <m/>
    <s v="Baja"/>
    <s v="Media"/>
    <s v="Reemplazo"/>
    <m/>
    <s v="Stella Maris Carabajal"/>
    <m/>
    <s v="Inderminado "/>
    <m/>
    <m/>
    <s v="L A S 15 A 23 HS. FERIADO ROTATIVO"/>
    <s v="SANATORIO"/>
    <d v="2026-03-23T00:00:00"/>
    <d v="2026-04-08T00:00:00"/>
    <m/>
    <m/>
    <s v="MEGAN BURTON"/>
    <s v="$1.478.071,38  bruto /       $1.230.851,50 neto"/>
    <s v="122/75"/>
    <s v="No"/>
    <m/>
    <s v="Se baja el candidato antes de la firma"/>
  </r>
  <r>
    <s v="00159"/>
    <d v="2026-02-13T00:00:00"/>
    <s v="Cerrada"/>
    <s v="Franco"/>
    <s v="Aprobada"/>
    <m/>
    <m/>
    <m/>
    <m/>
    <x v="7"/>
    <s v="Farmacia Nobel"/>
    <s v="Atención al Público"/>
    <s v="Farmacia Lamaité"/>
    <s v="Administrativo/a"/>
    <s v="CAJERO/A"/>
    <s v="Sergio Bernigaud"/>
    <m/>
    <x v="0"/>
    <x v="0"/>
    <m/>
    <m/>
    <m/>
    <s v="Reemplazo"/>
    <m/>
    <s v="Roxana Sequeira"/>
    <m/>
    <s v="Inderminado "/>
    <m/>
    <m/>
    <s v="Lunes a Viernes 16 a 22hs y Sabados de 13 a 21hs"/>
    <s v="Farmacia"/>
    <d v="2026-03-03T00:00:00"/>
    <d v="2026-03-09T00:00:00"/>
    <m/>
    <m/>
    <s v="Victoria Rocio Fagundez"/>
    <s v="$1.634.593,04 bruto / $1.363.852,00 neto"/>
    <m/>
    <s v="No"/>
    <s v="No"/>
    <m/>
  </r>
  <r>
    <s v="00160"/>
    <d v="2026-02-13T00:00:00"/>
    <s v="Cerrada"/>
    <s v="Ema"/>
    <s v="Aprobada"/>
    <m/>
    <m/>
    <m/>
    <m/>
    <x v="3"/>
    <s v="CIRENDSA"/>
    <s v="Enfermeria"/>
    <s v="INTERNACION"/>
    <s v="Asistencial/Enfermería"/>
    <s v="Enfermero/a de Internación"/>
    <s v="Noelia Alvez"/>
    <m/>
    <x v="0"/>
    <x v="0"/>
    <m/>
    <s v="Baja"/>
    <s v="Alta "/>
    <s v="Reemplazo"/>
    <m/>
    <s v="Blanco Beatriz"/>
    <s v="Renuncia "/>
    <s v="Inderminado "/>
    <m/>
    <m/>
    <s v="TT - 14 a 22 HS"/>
    <s v="SANATORIO"/>
    <d v="2026-04-27T00:00:00"/>
    <d v="2026-04-27T00:00:00"/>
    <m/>
    <m/>
    <s v="NILDA IBARROLA"/>
    <s v="Eventual por licencia. Se efectiviza"/>
    <s v="122/75"/>
    <s v="No"/>
    <s v="No"/>
    <s v=" 7/4 Se baja del proceso previo a la firma"/>
  </r>
  <r>
    <s v="00161"/>
    <d v="2026-02-14T00:00:00"/>
    <s v="Cerrada"/>
    <s v="Ema"/>
    <s v="Aprobada"/>
    <m/>
    <m/>
    <m/>
    <m/>
    <x v="4"/>
    <s v="Healthnes"/>
    <s v="Contact Center"/>
    <s v="Operaciones"/>
    <s v="Administrativo/a"/>
    <s v="Operador call center"/>
    <s v="Zukoski"/>
    <m/>
    <x v="0"/>
    <x v="0"/>
    <m/>
    <s v="Baja"/>
    <s v="Media"/>
    <s v="Reemplazo"/>
    <m/>
    <s v="Dana Collado "/>
    <m/>
    <s v="Plazo Fijo"/>
    <m/>
    <m/>
    <s v="Lunes a Viernes 14 a 19 hs. Sábado 9 a 14 hs (25 hs)"/>
    <s v="CONTACT CENTER"/>
    <d v="2026-03-03T00:00:00"/>
    <d v="2026-03-09T00:00:00"/>
    <m/>
    <m/>
    <s v="MARIA DEL PILAR HEREDIA"/>
    <s v="$710.649,96 bruto / $567.231,00 neto"/>
    <s v="130/75"/>
    <s v="No"/>
    <m/>
    <m/>
  </r>
  <r>
    <s v="00162"/>
    <d v="2026-02-15T00:00:00"/>
    <s v="Cerrada"/>
    <s v="Ema"/>
    <s v="Aprobada"/>
    <m/>
    <m/>
    <m/>
    <m/>
    <x v="3"/>
    <s v="CIRENDSA"/>
    <s v="Enfermeria"/>
    <s v="Terapia Intensiva"/>
    <s v="Asistencial/Enfermería"/>
    <s v="Enfermero/a de Terapia Intensiva"/>
    <s v="Noelia Alvez"/>
    <m/>
    <x v="1"/>
    <x v="1"/>
    <m/>
    <s v="Media"/>
    <m/>
    <s v="Reemplazo"/>
    <m/>
    <s v="Vacante TM"/>
    <m/>
    <s v="Inderminado "/>
    <m/>
    <m/>
    <m/>
    <s v="SANATORIO"/>
    <m/>
    <m/>
    <m/>
    <m/>
    <m/>
    <m/>
    <m/>
    <m/>
    <m/>
    <m/>
  </r>
  <r>
    <s v="00163"/>
    <d v="2026-02-15T00:00:00"/>
    <s v="Cerrada"/>
    <s v="Ema"/>
    <s v="Aprobada"/>
    <m/>
    <m/>
    <m/>
    <m/>
    <x v="3"/>
    <s v="CIRENDSA"/>
    <s v="Enfermeria"/>
    <s v="Terapia Intensiva"/>
    <s v="Asistencial/Enfermería"/>
    <s v="Enfermero/a de Terapia Intensiva"/>
    <s v="Alvez"/>
    <m/>
    <x v="0"/>
    <x v="0"/>
    <m/>
    <s v="Media"/>
    <m/>
    <s v="Reemplazo"/>
    <m/>
    <s v="Vacante TT"/>
    <m/>
    <s v="Inderminado "/>
    <m/>
    <m/>
    <s v="14 A 22 HS"/>
    <s v="SANATORIO"/>
    <d v="2026-03-11T00:00:00"/>
    <d v="2026-03-20T00:00:00"/>
    <m/>
    <m/>
    <s v="MARIA JOSE CASTILLO"/>
    <s v=" $1.444.204,15 bruto /_x0009_ $1.205.247,26 neto"/>
    <s v="122/75"/>
    <s v="No"/>
    <s v="No"/>
    <m/>
  </r>
  <r>
    <s v="00164"/>
    <d v="2026-02-15T00:00:00"/>
    <s v="Cerrada"/>
    <s v="Ema"/>
    <s v="Aprobada"/>
    <m/>
    <m/>
    <m/>
    <m/>
    <x v="3"/>
    <s v="CIRENDSA"/>
    <s v="Enfermeria"/>
    <s v="Terapia Intensiva"/>
    <s v="Asistencial/Enfermería"/>
    <s v="Enfermero/a de Terapia Intensiva"/>
    <s v="Alvez"/>
    <m/>
    <x v="0"/>
    <x v="0"/>
    <m/>
    <s v="Media"/>
    <m/>
    <s v="Reemplazo"/>
    <m/>
    <s v="Vacante TT"/>
    <m/>
    <s v="Inderminado "/>
    <m/>
    <m/>
    <s v="14 A 22 HS"/>
    <s v="SANATORIO"/>
    <d v="2026-03-11T00:00:00"/>
    <d v="2026-03-20T00:00:00"/>
    <m/>
    <m/>
    <s v="MARIANA CONTE"/>
    <s v=" $1.444.204,15 bruto /_x0009_ $1.205.247,26 neto"/>
    <s v="122/75"/>
    <s v="No"/>
    <s v="No"/>
    <m/>
  </r>
  <r>
    <s v="00165"/>
    <d v="2026-02-15T00:00:00"/>
    <n v="72"/>
    <s v="Ema"/>
    <s v="Aprobada"/>
    <m/>
    <m/>
    <m/>
    <m/>
    <x v="3"/>
    <s v="CIRENDSA"/>
    <s v="Enfermeria"/>
    <s v="Terapia Intensiva"/>
    <s v="Asistencial/Enfermería"/>
    <s v="Enfermero/a de Terapia Intensiva"/>
    <s v="Noelia Alvez"/>
    <m/>
    <x v="2"/>
    <x v="7"/>
    <d v="2026-05-18T00:00:00"/>
    <s v="Media"/>
    <s v="Alta "/>
    <s v="Reemplazo"/>
    <m/>
    <s v="EDITH LLANES"/>
    <s v="Renuncia "/>
    <s v="Inderminado "/>
    <m/>
    <m/>
    <s v="TN - 22 a 6 HS"/>
    <s v="SANATORIO"/>
    <m/>
    <m/>
    <m/>
    <m/>
    <m/>
    <m/>
    <s v="122/75"/>
    <s v="No"/>
    <s v="No"/>
    <m/>
  </r>
  <r>
    <s v="00166"/>
    <d v="2026-02-16T00:00:00"/>
    <s v="Cerrada"/>
    <s v="Ema"/>
    <s v="Aprobada"/>
    <m/>
    <m/>
    <m/>
    <m/>
    <x v="3"/>
    <s v="CIRENDSA"/>
    <s v="Enfermeria"/>
    <s v="Internación"/>
    <s v="Asistencial/Enfermería"/>
    <s v="Enfermero/a de Internación"/>
    <s v="Alvez"/>
    <m/>
    <x v="0"/>
    <x v="0"/>
    <m/>
    <s v="Baja"/>
    <s v="Media"/>
    <s v="Reemplazo"/>
    <m/>
    <s v="Gutierrez Ariel"/>
    <m/>
    <s v="Inderminado "/>
    <m/>
    <m/>
    <s v="14 A 22 HS"/>
    <s v="SANATORIO"/>
    <d v="2026-03-03T00:00:00"/>
    <d v="2026-03-09T00:00:00"/>
    <m/>
    <m/>
    <s v="FLORENCIA MOGRO"/>
    <s v="$1.223.571,44  bruto /       $1.024.328,50 neto"/>
    <s v="122/75"/>
    <s v="No"/>
    <m/>
    <s v="CM TT"/>
  </r>
  <r>
    <s v="00167"/>
    <d v="2026-02-16T00:00:00"/>
    <s v="Cerrada"/>
    <s v="Franco"/>
    <s v="Aprobada"/>
    <m/>
    <m/>
    <m/>
    <m/>
    <x v="4"/>
    <s v="Healthnes"/>
    <s v="Contact Center"/>
    <s v="Operaciones"/>
    <s v="Administrativo/a"/>
    <s v="Operador call center"/>
    <s v="Agostina Zukowski"/>
    <m/>
    <x v="0"/>
    <x v="0"/>
    <m/>
    <s v="Baja"/>
    <s v="Alta "/>
    <s v="Reemplazo"/>
    <m/>
    <s v="Lic prolongada Sanchez Daiana"/>
    <s v="Licencia "/>
    <s v="Eventual "/>
    <m/>
    <m/>
    <s v="Lunes a Miércoles 10-19 h. Jueves y Viernes 11-19 hs y Sábados 9-14 hs por Lic prolongada 164206 DANIELA SANCHEZ_x0009_"/>
    <s v="CONTACT CENTER"/>
    <d v="2026-03-11T00:00:00"/>
    <d v="2026-04-08T00:00:00"/>
    <s v="Externa"/>
    <m/>
    <s v="ALEJANDRO RIVAROLA"/>
    <s v=" $1.264.501,58 bruto /_x0009_ $1.032.990,00 neto"/>
    <s v="130/75"/>
    <s v="No"/>
    <m/>
    <m/>
  </r>
  <r>
    <s v="00168"/>
    <d v="2026-02-18T00:00:00"/>
    <s v="Cerrada"/>
    <s v="Franco"/>
    <s v="Aprobada"/>
    <m/>
    <m/>
    <m/>
    <m/>
    <x v="0"/>
    <s v="Cobensil"/>
    <s v="Cobranzas"/>
    <s v="Administración y Finanzas"/>
    <s v="Comercial, ventas y cobranzas"/>
    <s v="Cobrador/a"/>
    <s v="Florencia Rodriguez"/>
    <m/>
    <x v="0"/>
    <x v="0"/>
    <m/>
    <m/>
    <m/>
    <s v="Reemplazo"/>
    <m/>
    <s v="Cinthya Uncal"/>
    <m/>
    <s v="Plazo Fijo"/>
    <m/>
    <m/>
    <s v="Lunes a Viernes de 14h a 20hs, Sabado x medio de 9 a 13hs (Part time)"/>
    <s v="Ravignani"/>
    <d v="2026-02-19T00:00:00"/>
    <d v="2026-03-02T00:00:00"/>
    <m/>
    <m/>
    <s v="Natacha Burgardt"/>
    <s v="$711.303,94 bruto / $564.434,00 neto"/>
    <s v="130/75"/>
    <s v="No"/>
    <s v="No"/>
    <s v="Actualmente hay una candidata para ingresar"/>
  </r>
  <r>
    <s v="00169"/>
    <d v="2026-02-18T00:00:00"/>
    <s v="Cerrada"/>
    <s v="Jose"/>
    <s v="Aprobada"/>
    <m/>
    <m/>
    <m/>
    <m/>
    <x v="3"/>
    <m/>
    <s v="Comercial"/>
    <s v="Administración y Finanzas"/>
    <s v="Analista"/>
    <s v="Analista de convenios"/>
    <s v="Alejandro Poeta"/>
    <m/>
    <x v="0"/>
    <x v="0"/>
    <m/>
    <s v="Media"/>
    <s v="Alta "/>
    <s v="Apertura de puesto"/>
    <m/>
    <m/>
    <m/>
    <s v="Inderminado "/>
    <m/>
    <m/>
    <s v="Lunes a viernes de 9 a 18hs"/>
    <s v="La Musa"/>
    <d v="2026-03-30T00:00:00"/>
    <d v="2026-04-06T00:00:00"/>
    <s v="Externa"/>
    <s v="Linkedln "/>
    <s v="Pedro Goicochea "/>
    <s v="$1.700.000 netos"/>
    <s v="FUCO"/>
    <s v="Si"/>
    <s v="No"/>
    <s v="12-12 analizando cv´s, 4 cnadidatos con diferencias salariales, paso a poetea 2 perfiles Delfina Musso y Valeria Santa Cruz , pasa a preo Delfina Musso el 26-12, el 23/01 indico Delfina Musso que no iba a ingresar de su trabajo le pidieron que se quedara. Se retoma el filtrado de CV´s 26-01."/>
  </r>
  <r>
    <s v="00170"/>
    <d v="2026-02-18T00:00:00"/>
    <s v="Cerrada"/>
    <s v="Ema"/>
    <s v="Aprobada"/>
    <m/>
    <m/>
    <m/>
    <m/>
    <x v="3"/>
    <m/>
    <s v="Admisión"/>
    <s v="Imágenes"/>
    <s v="Administrativo/a"/>
    <s v="Asesor al Paciente"/>
    <s v="Gomez"/>
    <m/>
    <x v="0"/>
    <x v="0"/>
    <m/>
    <s v="Baja"/>
    <m/>
    <s v="Reemplazo"/>
    <m/>
    <s v="Nicolas Morrone"/>
    <m/>
    <s v="Inderminado "/>
    <m/>
    <m/>
    <s v="Lunes a Viernes 12.30 a 20.30 hs. Sábados 7 a 13 hs"/>
    <s v="SANATORIO"/>
    <m/>
    <d v="2026-03-23T00:00:00"/>
    <m/>
    <m/>
    <s v="YAMILA PACHECO"/>
    <s v=" $842.805,08 bruto /_x0009_ $697.077,50 neto"/>
    <s v="122/75"/>
    <s v="No"/>
    <m/>
    <m/>
  </r>
  <r>
    <s v="00171"/>
    <d v="2026-02-18T00:00:00"/>
    <s v="Cerrada"/>
    <s v="Ema"/>
    <s v="Aprobada"/>
    <m/>
    <m/>
    <m/>
    <m/>
    <x v="3"/>
    <m/>
    <s v="Laboratorio"/>
    <s v="Laboratorio"/>
    <s v="Asistencial/Otros"/>
    <s v="Tecnico/a de Laboratorio"/>
    <s v="Scarcelli"/>
    <m/>
    <x v="4"/>
    <x v="8"/>
    <m/>
    <s v="Baja"/>
    <m/>
    <s v="Reemplazo"/>
    <m/>
    <s v="Rodriguez Julieta"/>
    <m/>
    <s v="Inderminado "/>
    <m/>
    <m/>
    <m/>
    <m/>
    <m/>
    <m/>
    <m/>
    <m/>
    <m/>
    <m/>
    <m/>
    <m/>
    <m/>
    <m/>
  </r>
  <r>
    <s v="00172"/>
    <d v="2026-02-18T00:00:00"/>
    <s v="Cerrada"/>
    <s v="Franco"/>
    <s v="Aprobada"/>
    <m/>
    <m/>
    <m/>
    <m/>
    <x v="0"/>
    <s v="Bristol Medicine SRL"/>
    <s v="Ventas Retail"/>
    <s v="Comercial"/>
    <s v="Comercial, ventas y cobranzas"/>
    <s v="VENDEDOR/A"/>
    <s v="Serafin"/>
    <m/>
    <x v="0"/>
    <x v="0"/>
    <m/>
    <s v="Baja"/>
    <s v="Media"/>
    <s v="Reemplazo"/>
    <n v="169836"/>
    <s v="Adrian Torosantucci"/>
    <s v="Renuncia "/>
    <s v="Inderminado "/>
    <m/>
    <m/>
    <s v="Lunes a Viernes de 10 a 17hs"/>
    <s v="Céspedes 3249"/>
    <d v="2026-04-10T00:00:00"/>
    <d v="2026-04-16T00:00:00"/>
    <m/>
    <s v="Consultora"/>
    <s v="Italo Rivera"/>
    <s v="$1.014.583,64 bruto / $850.802,00 neto"/>
    <s v="108/75"/>
    <s v="No"/>
    <m/>
    <m/>
  </r>
  <r>
    <s v="00173"/>
    <d v="2026-02-18T00:00:00"/>
    <s v="Cerrada"/>
    <s v="Franco"/>
    <s v="Aprobada"/>
    <m/>
    <m/>
    <m/>
    <m/>
    <x v="0"/>
    <s v="Cobensil SA"/>
    <s v="Ventas Retail"/>
    <s v="Comercial"/>
    <s v="Comercial, ventas y cobranzas"/>
    <s v="VENDEDOR/A"/>
    <s v="Serafin"/>
    <m/>
    <x v="0"/>
    <x v="0"/>
    <m/>
    <s v="Baja"/>
    <s v="Media"/>
    <s v="Reemplazo"/>
    <n v="1088"/>
    <s v="SANCHEZ OLIVERA, ROMINA"/>
    <s v="Desvinculación empresa"/>
    <s v="Inderminado "/>
    <m/>
    <m/>
    <s v="Lunes a Viernes de 10 a 18hs"/>
    <s v="Lacroze 3257"/>
    <d v="2026-04-10T00:00:00"/>
    <d v="2026-04-16T00:00:00"/>
    <m/>
    <s v="Consultora"/>
    <s v="Lautaro Alan Bazan"/>
    <s v="$1.315.682,00 bruto /  $1.077.223,50 neto"/>
    <s v="130/75"/>
    <s v="No"/>
    <m/>
    <m/>
  </r>
  <r>
    <s v="00174"/>
    <d v="2026-02-18T00:00:00"/>
    <n v="69"/>
    <s v="Franco"/>
    <s v="Aprobada"/>
    <m/>
    <m/>
    <m/>
    <m/>
    <x v="0"/>
    <s v="Cobensil SA"/>
    <s v="Ventas Retail"/>
    <s v="Comercial"/>
    <s v="Comercial, ventas y cobranzas"/>
    <s v="VENDEDOR/A"/>
    <s v="Serafin"/>
    <m/>
    <x v="3"/>
    <x v="4"/>
    <d v="2026-05-11T00:00:00"/>
    <s v="Baja"/>
    <s v="Media"/>
    <s v="Apertura de puesto"/>
    <m/>
    <m/>
    <m/>
    <s v="Inderminado "/>
    <m/>
    <m/>
    <m/>
    <m/>
    <m/>
    <m/>
    <m/>
    <s v="Consultora"/>
    <m/>
    <m/>
    <m/>
    <s v="No"/>
    <m/>
    <m/>
  </r>
  <r>
    <s v="00175"/>
    <d v="2026-02-18T00:00:00"/>
    <s v="Cerrada"/>
    <s v="Franco"/>
    <s v="Aprobada"/>
    <m/>
    <m/>
    <m/>
    <m/>
    <x v="0"/>
    <s v="Cobensil SA"/>
    <s v="Ventas Retail"/>
    <s v="Comercial"/>
    <s v="Comercial, ventas y cobranzas"/>
    <s v="VENDEDOR/A"/>
    <s v="Serafin"/>
    <m/>
    <x v="0"/>
    <x v="0"/>
    <m/>
    <s v="Baja"/>
    <s v="Media"/>
    <s v="Apertura de puesto"/>
    <m/>
    <m/>
    <m/>
    <s v="Inderminado "/>
    <m/>
    <m/>
    <s v="Lunes a Viernes de 10 a 18hs"/>
    <s v="Av Maipu 1680"/>
    <d v="2026-04-10T00:00:00"/>
    <d v="2026-04-16T00:00:00"/>
    <m/>
    <s v="Consultora"/>
    <s v="Gustavo Enrique Perez Cañizalez"/>
    <s v="$1.315.682,00 bruto /  $1.077.223,50 neto"/>
    <s v="130/75"/>
    <s v="No"/>
    <m/>
    <m/>
  </r>
  <r>
    <s v="00176"/>
    <d v="2026-02-18T00:00:00"/>
    <s v="Cerrada"/>
    <s v="Franco"/>
    <s v="Aprobada"/>
    <m/>
    <m/>
    <m/>
    <m/>
    <x v="0"/>
    <s v="Cobensil SA"/>
    <s v="Ventas Retail"/>
    <s v="Comercial"/>
    <s v="Comercial, ventas y cobranzas"/>
    <s v="VENDEDOR/A"/>
    <s v="Serafin"/>
    <m/>
    <x v="0"/>
    <x v="0"/>
    <m/>
    <s v="Baja"/>
    <s v="Media"/>
    <s v="Apertura de puesto"/>
    <m/>
    <m/>
    <m/>
    <s v="Inderminado "/>
    <m/>
    <m/>
    <s v="Lunes a Viernes de 10 a 18hs"/>
    <s v="Av Maipu 1680"/>
    <d v="2026-04-14T00:00:00"/>
    <d v="2026-04-16T00:00:00"/>
    <m/>
    <s v="Consultora"/>
    <s v="Sabrina Gonzalez"/>
    <s v="$1.315.682,00 bruto /  $1.077.223,50 neto"/>
    <s v="130/75"/>
    <s v="No"/>
    <m/>
    <m/>
  </r>
  <r>
    <s v="00177"/>
    <d v="2026-02-20T00:00:00"/>
    <n v="67"/>
    <s v="Franco"/>
    <s v="Aprobada"/>
    <m/>
    <m/>
    <m/>
    <m/>
    <x v="0"/>
    <m/>
    <s v="Ventas Retail"/>
    <s v="Comercial"/>
    <s v="Comercial, ventas y cobranzas"/>
    <s v="VENDEDOR/A"/>
    <s v="Serafin"/>
    <m/>
    <x v="3"/>
    <x v="4"/>
    <d v="2026-05-11T00:00:00"/>
    <s v="Baja"/>
    <s v="Media"/>
    <s v="Reemplazo"/>
    <n v="157853"/>
    <s v="MENDIETA, MARTIN JULIAN"/>
    <s v="Renuncia "/>
    <s v="Inderminado "/>
    <m/>
    <m/>
    <m/>
    <m/>
    <m/>
    <m/>
    <m/>
    <m/>
    <m/>
    <m/>
    <m/>
    <m/>
    <m/>
    <m/>
  </r>
  <r>
    <s v="00178"/>
    <d v="2026-02-24T00:00:00"/>
    <n v="63"/>
    <s v="Franco"/>
    <s v="Aprobada"/>
    <m/>
    <m/>
    <m/>
    <m/>
    <x v="0"/>
    <m/>
    <s v="Ventas Retail"/>
    <s v="Comercial"/>
    <s v="Comercial, ventas y cobranzas"/>
    <s v="VENDEDOR/A"/>
    <s v="Serafin"/>
    <m/>
    <x v="3"/>
    <x v="4"/>
    <d v="2026-05-11T00:00:00"/>
    <s v="Baja"/>
    <s v="Media"/>
    <s v="Reemplazo"/>
    <n v="1002"/>
    <s v="Ferreyra, Maria Pia"/>
    <s v="Renuncia "/>
    <s v="Inderminado "/>
    <m/>
    <m/>
    <m/>
    <m/>
    <m/>
    <m/>
    <m/>
    <m/>
    <m/>
    <m/>
    <m/>
    <m/>
    <m/>
    <m/>
  </r>
  <r>
    <s v="00179"/>
    <d v="2026-02-26T00:00:00"/>
    <n v="61"/>
    <s v="Franco"/>
    <s v="Aprobada"/>
    <m/>
    <m/>
    <m/>
    <m/>
    <x v="0"/>
    <m/>
    <s v="Ventas Retail"/>
    <s v="Comercial"/>
    <s v="Comercial, ventas y cobranzas"/>
    <s v="VENDEDOR/A"/>
    <s v="Serafin"/>
    <m/>
    <x v="3"/>
    <x v="4"/>
    <d v="2026-05-11T00:00:00"/>
    <s v="Baja"/>
    <s v="Media"/>
    <s v="Reemplazo"/>
    <n v="154670"/>
    <s v="GONZALEZ, CONSTANZA ROMINA"/>
    <s v="Renuncia "/>
    <s v="Inderminado "/>
    <m/>
    <m/>
    <m/>
    <m/>
    <m/>
    <m/>
    <m/>
    <m/>
    <m/>
    <m/>
    <m/>
    <m/>
    <m/>
    <m/>
  </r>
  <r>
    <s v="00180"/>
    <d v="2026-02-18T00:00:00"/>
    <s v="Cerrada"/>
    <s v="Jose"/>
    <s v="Aprobada"/>
    <m/>
    <m/>
    <m/>
    <m/>
    <x v="3"/>
    <s v="DESARROLLO"/>
    <s v="Comercial"/>
    <s v="Administración y Finanzas"/>
    <s v="Analista IT"/>
    <s v="Analista de datos"/>
    <s v="Alejandro Poeta"/>
    <m/>
    <x v="0"/>
    <x v="0"/>
    <m/>
    <s v="Media"/>
    <s v="Alta "/>
    <s v="Reemplazo"/>
    <m/>
    <s v="Carlos Dominguez"/>
    <m/>
    <s v="Inderminado "/>
    <m/>
    <m/>
    <m/>
    <s v="La Musa"/>
    <d v="2026-03-30T00:00:00"/>
    <d v="2026-04-06T00:00:00"/>
    <s v="Externa"/>
    <s v="Computrabajo "/>
    <s v="Felipe Herrera Duran"/>
    <s v="$1.800.000 netos"/>
    <s v="FUCO"/>
    <m/>
    <s v="No"/>
    <m/>
  </r>
  <r>
    <s v="00181"/>
    <d v="2026-02-18T00:00:00"/>
    <s v="Cerrada"/>
    <s v="Franco"/>
    <s v="Aprobada"/>
    <m/>
    <m/>
    <m/>
    <m/>
    <x v="5"/>
    <m/>
    <s v="Operaciones"/>
    <s v="Operaciones"/>
    <s v="Administrativo/a"/>
    <s v="Administrativo/a de atención al paciente"/>
    <s v="Federico Carrasquera"/>
    <m/>
    <x v="4"/>
    <x v="5"/>
    <m/>
    <s v="Baja"/>
    <s v="Media"/>
    <s v="Reemplazo"/>
    <m/>
    <s v="Jessica Sanchez"/>
    <m/>
    <s v="Inderminado "/>
    <m/>
    <m/>
    <s v="L a V - 13 a 21 hs / S por medio de 8 a 14 ( es la única persona en este horario ) "/>
    <s v="CMV"/>
    <d v="2026-03-13T00:00:00"/>
    <m/>
    <s v="Externa"/>
    <m/>
    <s v="Juliana Paint / Octavio Cuenca"/>
    <s v=" $1.269.476,21"/>
    <s v="Comercio 130/75"/>
    <s v="No"/>
    <s v="No"/>
    <s v="Se cerro con un pase interno"/>
  </r>
  <r>
    <s v="00182"/>
    <d v="2026-01-30T00:00:00"/>
    <n v="88"/>
    <s v="Jose"/>
    <s v="Aprobada"/>
    <m/>
    <m/>
    <m/>
    <m/>
    <x v="3"/>
    <s v="CIRENDSA"/>
    <s v="Hotelería"/>
    <s v="Internación"/>
    <s v="Liderazgo"/>
    <s v="Supervisor/a de Hotelería"/>
    <s v="Valeria Dodero"/>
    <m/>
    <x v="3"/>
    <x v="4"/>
    <d v="2026-05-11T00:00:00"/>
    <s v="Baja"/>
    <s v="Media"/>
    <s v="Reemplazo"/>
    <m/>
    <s v="Abaca E"/>
    <m/>
    <s v="Inderminado "/>
    <m/>
    <m/>
    <s v=" 6 a 14 hs"/>
    <s v="SANATORIO"/>
    <m/>
    <m/>
    <m/>
    <m/>
    <m/>
    <s v=" $1.513.275,78 bruto /_x0009_ $1.261.886,00 neto"/>
    <s v="122/75"/>
    <s v="No"/>
    <m/>
    <s v="Gladys Servin apto en preocupacional. Vale Dodero decide no avanzar por su psicotécnico"/>
  </r>
  <r>
    <s v="00183"/>
    <d v="2026-02-19T00:00:00"/>
    <s v="Cerrada"/>
    <s v="Jose"/>
    <s v="Aprobada"/>
    <m/>
    <s v="No"/>
    <m/>
    <m/>
    <x v="5"/>
    <m/>
    <s v="Operaciones"/>
    <s v="Operaciones"/>
    <s v="Liderazgo"/>
    <s v="Referente Administrativo de Atención al Publico"/>
    <s v="Federico Carrasquera"/>
    <m/>
    <x v="0"/>
    <x v="0"/>
    <m/>
    <s v="Media"/>
    <s v="Alta "/>
    <s v="Reemplazo"/>
    <m/>
    <s v="Juan Manuel Guzman"/>
    <m/>
    <s v="Inderminado "/>
    <m/>
    <m/>
    <s v="L a V de 13hs a 21hs / S por medio de 08 a 14hs"/>
    <s v="CMV"/>
    <d v="2026-03-13T00:00:00"/>
    <d v="2026-03-17T00:00:00"/>
    <s v="Externa"/>
    <s v="Computrabajo "/>
    <s v="Yanina de la Rosa"/>
    <s v="$ 1,742,902,82 bruto - $1,418,103 Netos"/>
    <s v="Comercio 130/75"/>
    <s v="No"/>
    <s v="No"/>
    <s v="Referente"/>
  </r>
  <r>
    <s v="00184"/>
    <d v="2026-02-20T00:00:00"/>
    <s v="Cerrada"/>
    <s v="Juanpi"/>
    <s v="Rechazada"/>
    <m/>
    <s v="No"/>
    <s v="No"/>
    <m/>
    <x v="0"/>
    <m/>
    <s v="EXPERIENCIA DE CLIENTES"/>
    <s v="EXPERIENCIA DE CLIENTES"/>
    <s v="Analista"/>
    <s v="Analista de CX"/>
    <s v="Veronica Casati"/>
    <m/>
    <x v="1"/>
    <x v="1"/>
    <m/>
    <m/>
    <m/>
    <s v="Apertura de puesto"/>
    <m/>
    <m/>
    <m/>
    <s v="Inderminado "/>
    <m/>
    <m/>
    <m/>
    <m/>
    <m/>
    <m/>
    <m/>
    <m/>
    <m/>
    <m/>
    <m/>
    <m/>
    <m/>
    <m/>
  </r>
  <r>
    <s v="00185"/>
    <d v="2026-02-20T00:00:00"/>
    <s v="Cerrada"/>
    <s v="Juanpi"/>
    <s v="Aprobada"/>
    <m/>
    <s v="No"/>
    <s v="No"/>
    <m/>
    <x v="0"/>
    <m/>
    <s v="EXPERIENCIA DE CLIENTES"/>
    <s v="EXPERIENCIA DE CLIENTES"/>
    <s v="Liderazgo"/>
    <s v="Coordinador/a de Sucursales"/>
    <s v="Veronica Casati"/>
    <m/>
    <x v="4"/>
    <x v="5"/>
    <m/>
    <m/>
    <m/>
    <s v="Reemplazo"/>
    <m/>
    <s v="Leandro Lopez"/>
    <m/>
    <s v="Inderminado "/>
    <m/>
    <m/>
    <m/>
    <m/>
    <m/>
    <m/>
    <m/>
    <m/>
    <m/>
    <m/>
    <m/>
    <m/>
    <m/>
    <m/>
  </r>
  <r>
    <s v="00186"/>
    <d v="2026-02-23T00:00:00"/>
    <s v="Cerrada"/>
    <s v="Ema"/>
    <s v="Aprobada"/>
    <m/>
    <m/>
    <m/>
    <m/>
    <x v="4"/>
    <s v="Healthnes"/>
    <s v="Contact Center"/>
    <s v="Operaciones"/>
    <s v="Administrativo/a"/>
    <s v="Operador call center"/>
    <s v="Zukoski"/>
    <m/>
    <x v="0"/>
    <x v="0"/>
    <m/>
    <s v="Baja"/>
    <s v="Media"/>
    <s v="Reemplazo"/>
    <m/>
    <s v="Oriana Romero"/>
    <m/>
    <s v="Eventual "/>
    <m/>
    <m/>
    <s v="Lunes a Sábados 9 a 14 (25 hs)"/>
    <s v="CONTACT CENTER"/>
    <d v="2026-03-03T00:00:00"/>
    <d v="2026-03-09T00:00:00"/>
    <m/>
    <m/>
    <s v="VANESSA RUIZ"/>
    <s v="$710.649,96 bruto / $567.231,00 neto"/>
    <s v="130/75"/>
    <s v="No"/>
    <s v="No"/>
    <m/>
  </r>
  <r>
    <s v="00187"/>
    <d v="2026-02-23T00:00:00"/>
    <s v="Cerrada"/>
    <s v="Franco"/>
    <s v="Aprobada"/>
    <m/>
    <m/>
    <m/>
    <m/>
    <x v="4"/>
    <s v="Healthnes"/>
    <s v="Contact Center"/>
    <s v="Operaciones"/>
    <s v="Administrativo/a"/>
    <s v="Operador call center"/>
    <s v="Zukoski"/>
    <m/>
    <x v="0"/>
    <x v="0"/>
    <d v="2026-04-21T00:00:00"/>
    <s v="Baja"/>
    <s v="Alta "/>
    <s v="Reemplazo"/>
    <m/>
    <s v="Vera Rose (Camila Beraldi)"/>
    <s v="Renuncia "/>
    <s v="Inderminado "/>
    <m/>
    <m/>
    <s v="Lunes a Viernes 14 a 19 hs. Sábados 9 a 14 hs (25 hs) "/>
    <s v="CONTACT CENTER"/>
    <d v="2026-04-07T00:00:00"/>
    <m/>
    <m/>
    <m/>
    <s v="Oriana Taylor"/>
    <s v=" $710.649,96 bruto /_x0009_ $567.231,00 neto"/>
    <s v="130/75"/>
    <s v="No"/>
    <s v="No"/>
    <m/>
  </r>
  <r>
    <s v="00188"/>
    <d v="2026-02-23T00:00:00"/>
    <s v="Cerrada"/>
    <s v="Ema"/>
    <s v="Aprobada"/>
    <m/>
    <m/>
    <m/>
    <m/>
    <x v="3"/>
    <s v="CIRENDSA"/>
    <s v="Hotelería"/>
    <s v="Internación"/>
    <s v="Servicios Generales"/>
    <s v="MUCAMO/A"/>
    <s v="Valeria Dodero"/>
    <m/>
    <x v="0"/>
    <x v="0"/>
    <m/>
    <s v="Baja"/>
    <s v="Baja "/>
    <s v="Reemplazo"/>
    <m/>
    <s v="Melisa Aponte"/>
    <s v="Renuncia "/>
    <s v="Inderminado "/>
    <m/>
    <m/>
    <s v="6 a 14 hs"/>
    <s v="SANATORIO"/>
    <d v="2026-04-20T00:00:00"/>
    <d v="2026-04-20T00:00:00"/>
    <m/>
    <m/>
    <s v="PAULA MENDEZ"/>
    <s v="Eventual. Se efectiviza el puesto"/>
    <s v="122/75"/>
    <s v="No"/>
    <s v="No"/>
    <m/>
  </r>
  <r>
    <s v="00189"/>
    <d v="2026-02-23T00:00:00"/>
    <n v="64"/>
    <s v="Juanpi"/>
    <s v="Aprobada"/>
    <m/>
    <m/>
    <m/>
    <m/>
    <x v="4"/>
    <s v="Healtnes"/>
    <s v="Mantenimiento"/>
    <s v="Servicios de Apoyo"/>
    <s v="Especialista"/>
    <s v="ARQUITECTO/A"/>
    <s v="Emilio Zalis"/>
    <m/>
    <x v="2"/>
    <x v="2"/>
    <d v="2026-06-15T00:00:00"/>
    <s v="Alta "/>
    <s v="Media"/>
    <s v="Reemplazo"/>
    <m/>
    <s v="Confidencial "/>
    <m/>
    <s v="Inderminado "/>
    <m/>
    <m/>
    <m/>
    <m/>
    <m/>
    <m/>
    <m/>
    <m/>
    <m/>
    <m/>
    <m/>
    <m/>
    <m/>
    <m/>
  </r>
  <r>
    <s v="00190"/>
    <d v="2026-02-25T00:00:00"/>
    <s v="Cerrada"/>
    <s v="Ema"/>
    <s v="Aprobada"/>
    <m/>
    <s v="No"/>
    <s v="No"/>
    <m/>
    <x v="3"/>
    <s v="CIRENDSA"/>
    <s v="Enfermeria"/>
    <s v="INTERNACION"/>
    <s v="Asistencial/Enfermería"/>
    <s v="Enfermero/a de Internación"/>
    <s v="Noelia Alvez"/>
    <m/>
    <x v="0"/>
    <x v="0"/>
    <m/>
    <s v="Baja"/>
    <s v="Baja"/>
    <s v="Reemplazo"/>
    <n v="159255"/>
    <s v="Ruiz Palma Elvira"/>
    <s v="Renuncia "/>
    <s v="Indeterminado "/>
    <m/>
    <m/>
    <s v="6 a 14 hs"/>
    <s v="SANATORIO"/>
    <d v="2026-04-20T00:00:00"/>
    <d v="2026-04-20T00:00:00"/>
    <m/>
    <m/>
    <s v="HELEN QUENTA"/>
    <s v="Eventual. Se efectiviza el puesto"/>
    <s v="122/75"/>
    <s v="No"/>
    <s v="No"/>
    <m/>
  </r>
  <r>
    <s v="00191"/>
    <d v="2026-02-25T00:00:00"/>
    <s v="Cerrada"/>
    <s v="Ema"/>
    <s v="Aprobada"/>
    <m/>
    <m/>
    <m/>
    <m/>
    <x v="3"/>
    <s v="CIRENDSA"/>
    <s v="Enfermeria"/>
    <s v="INTERNACION"/>
    <s v="Asistencial/Enfermería"/>
    <s v="Enfermero/a de Internación"/>
    <s v="Noelia Alvez"/>
    <m/>
    <x v="0"/>
    <x v="0"/>
    <m/>
    <s v="Baja"/>
    <s v="Alta "/>
    <s v="Reemplazo"/>
    <m/>
    <s v="Ana Cespedes"/>
    <s v="Sobre cápita"/>
    <s v="Indeterminado "/>
    <m/>
    <m/>
    <s v="TM - 6 a 14 hs"/>
    <s v="SANATORIO"/>
    <d v="2026-04-20T00:00:00"/>
    <d v="2026-04-20T00:00:00"/>
    <m/>
    <m/>
    <m/>
    <s v="Eventual. Se efectiviza el puesto"/>
    <s v="122/75"/>
    <s v="No"/>
    <s v="No"/>
    <s v="CM TM / Sobre Cápita"/>
  </r>
  <r>
    <s v="00192"/>
    <d v="2026-02-26T00:00:00"/>
    <n v="61"/>
    <s v="Juanpi"/>
    <s v="Aprobada"/>
    <m/>
    <s v="Si"/>
    <m/>
    <m/>
    <x v="4"/>
    <m/>
    <s v="Compras"/>
    <s v="Administración y Finanzas"/>
    <s v="Liderazgo"/>
    <s v="Gerente/a de Compras"/>
    <s v="Emilio Zalis"/>
    <s v="Maria Rodriguez"/>
    <x v="2"/>
    <x v="3"/>
    <d v="2026-06-15T00:00:00"/>
    <s v="Alta"/>
    <s v="Alta "/>
    <s v="Apertura de puesto"/>
    <m/>
    <m/>
    <m/>
    <s v="Inderminado "/>
    <m/>
    <m/>
    <m/>
    <m/>
    <m/>
    <m/>
    <m/>
    <m/>
    <m/>
    <m/>
    <m/>
    <m/>
    <m/>
    <s v="Se abre nuevamente la búsqueda. El proceso anterior inicio en 10/2025. Con esta nueva apertura se busca un perfil con foco en compras pero con potencial para tomar áreas de administración y operación"/>
  </r>
  <r>
    <s v="00193"/>
    <d v="2026-02-26T00:00:00"/>
    <s v="Cerrada"/>
    <s v="Ema"/>
    <s v="Aprobada"/>
    <m/>
    <m/>
    <m/>
    <m/>
    <x v="3"/>
    <m/>
    <s v="Enfermeria"/>
    <s v="INTERNACION"/>
    <s v="Asistencial/Enfermería"/>
    <s v="Enfermero/a de Internación"/>
    <s v="Noelia Alvez"/>
    <m/>
    <x v="0"/>
    <x v="0"/>
    <d v="2026-04-13T00:00:00"/>
    <s v="Baja"/>
    <s v="Alta "/>
    <s v="Reemplazo"/>
    <m/>
    <s v="Jhaneth Choque"/>
    <s v="Sobre cápita"/>
    <s v="Inderminado "/>
    <m/>
    <m/>
    <s v="TM - 6 a 14 hs"/>
    <s v="SANATORIO"/>
    <d v="2026-04-20T00:00:00"/>
    <d v="2026-04-20T00:00:00"/>
    <m/>
    <m/>
    <s v="CHUGAR CASTRO JUAN OMAR"/>
    <s v="Eventual. Se efectiviza el puesto"/>
    <m/>
    <m/>
    <m/>
    <s v="CM TM / Sobre Cápita"/>
  </r>
  <r>
    <s v="00194"/>
    <d v="2026-02-26T00:00:00"/>
    <s v="Cerrada"/>
    <s v="Franco"/>
    <s v="Aprobada"/>
    <m/>
    <m/>
    <m/>
    <m/>
    <x v="4"/>
    <s v="Healthnes"/>
    <s v="Contact Center"/>
    <s v="Operaciones"/>
    <s v="Administrativo/a"/>
    <s v="Operador call center"/>
    <s v="Zukoski"/>
    <m/>
    <x v="0"/>
    <x v="0"/>
    <d v="2026-04-21T00:00:00"/>
    <s v="Baja"/>
    <s v="Alta "/>
    <s v="Reemplazo"/>
    <m/>
    <s v="Valeria Rojas"/>
    <m/>
    <s v="Inderminado "/>
    <m/>
    <m/>
    <s v="Lunes a Viernes 15 a 20 hs. Sábados 9 a 14 hs (25 hs)"/>
    <s v="CONTACT CENTER"/>
    <d v="2026-04-07T00:00:00"/>
    <m/>
    <m/>
    <m/>
    <s v="Luz Gassman"/>
    <s v=" $710.649,96 bruto /_x0009_ $567.231,00 neto"/>
    <s v="130/75"/>
    <s v="No"/>
    <s v="No"/>
    <m/>
  </r>
  <r>
    <s v="00195"/>
    <d v="2026-02-27T00:00:00"/>
    <s v="Cerrada"/>
    <s v="Ema"/>
    <s v="Aprobada"/>
    <m/>
    <m/>
    <m/>
    <m/>
    <x v="3"/>
    <s v="CIRENDSA"/>
    <s v="Hotelería"/>
    <s v="Internación"/>
    <s v="Servicios Generales"/>
    <s v="MUCAMO/A"/>
    <s v="Valeria Dodero"/>
    <m/>
    <x v="0"/>
    <x v="0"/>
    <m/>
    <s v="Baja"/>
    <m/>
    <s v="Reemplazo"/>
    <m/>
    <s v="Ayelen Sanchez"/>
    <s v="Renuncia "/>
    <s v="Inderminado "/>
    <m/>
    <m/>
    <s v="14 A 22 HS. Eventual por licencia prolongada de 120019 ROBLES MARTA"/>
    <s v="SANATORIO"/>
    <m/>
    <d v="2026-04-08T00:00:00"/>
    <s v="Externa"/>
    <m/>
    <s v="CRISTINA BRAVO"/>
    <s v=" $1.052.963,43 bruto /_x0009_ $875.067,00 neto"/>
    <s v="122/75"/>
    <s v="No"/>
    <s v="No"/>
    <m/>
  </r>
  <r>
    <s v="00196"/>
    <d v="2026-02-28T00:00:00"/>
    <s v="Cerrada"/>
    <s v="Franco"/>
    <s v="Aprobada"/>
    <m/>
    <m/>
    <m/>
    <m/>
    <x v="3"/>
    <s v="CIRENDSA"/>
    <s v="Laboratorio"/>
    <s v="Laboratorio"/>
    <s v="Asistencial/Otros"/>
    <s v="Tecnico/a de Laboratorio"/>
    <s v="Scarcelli"/>
    <m/>
    <x v="0"/>
    <x v="9"/>
    <m/>
    <s v="Baja"/>
    <m/>
    <s v="Reemplazo"/>
    <m/>
    <s v="Daiana Bordas"/>
    <m/>
    <s v="Inderminado "/>
    <m/>
    <m/>
    <s v="14:00 a 22:00 de lunes a sabados"/>
    <s v="SANATORIO"/>
    <m/>
    <d v="2026-03-20T00:00:00"/>
    <m/>
    <m/>
    <s v="VIOLETA CHINSKI"/>
    <s v=" $1.520.037,13 bruto /_x0009_ $1.032.783,00 neto"/>
    <s v="122/75"/>
    <s v="No"/>
    <s v="No"/>
    <m/>
  </r>
  <r>
    <s v="00197"/>
    <d v="2026-02-28T00:00:00"/>
    <s v="Cerrada"/>
    <s v="Ema"/>
    <s v="Aprobada"/>
    <m/>
    <m/>
    <m/>
    <m/>
    <x v="3"/>
    <s v="CIRENDSA"/>
    <s v="Admisión"/>
    <s v="Consultorios Externos"/>
    <s v="Administrativo/a"/>
    <s v="Administrativa/o de Laboratorio"/>
    <s v="Gomez"/>
    <m/>
    <x v="0"/>
    <x v="0"/>
    <m/>
    <s v="Baja"/>
    <s v="Media"/>
    <s v="Reemplazo"/>
    <m/>
    <s v="Sofia de la Peña"/>
    <m/>
    <s v="Inderminado "/>
    <m/>
    <m/>
    <s v="Lu a Vie 08 a 16 hs - Sabado x medio 07 a 15 hs "/>
    <s v="SANATORIO"/>
    <m/>
    <d v="2026-03-23T00:00:00"/>
    <m/>
    <m/>
    <s v="STEFANIA AGÜEROS"/>
    <s v=" $1.164.203,77 bruto /_x0009_ $976.802,50 neto"/>
    <s v="122/75"/>
    <s v="No"/>
    <s v="No"/>
    <m/>
  </r>
  <r>
    <s v="00198"/>
    <d v="2026-03-02T00:00:00"/>
    <s v="Cerrada"/>
    <s v="Ema"/>
    <s v="Aprobada"/>
    <m/>
    <m/>
    <m/>
    <m/>
    <x v="3"/>
    <s v="CIRENDSA"/>
    <s v="Enfermeria"/>
    <s v="Terapia Intensiva"/>
    <s v="Asistencial/Enfermería"/>
    <s v="Enfermero/a de Terapia Intensiva"/>
    <s v="Noelia Alvez"/>
    <m/>
    <x v="0"/>
    <x v="0"/>
    <m/>
    <s v="Baja"/>
    <s v="Alta "/>
    <s v="Reemplazo"/>
    <m/>
    <s v="Cristian Flores"/>
    <s v="Renuncia "/>
    <s v="Inderminado "/>
    <m/>
    <m/>
    <s v="TT - 14 a 22 HS"/>
    <s v="SANATORIO"/>
    <d v="2026-03-23T00:00:00"/>
    <d v="2026-04-08T00:00:00"/>
    <m/>
    <m/>
    <s v="CARLOS QUINTEROS"/>
    <s v="&quot; $1.444.204,15 bruto /_x0009_ $1.205.247,26 neto&quot;"/>
    <s v="122/75"/>
    <s v="No"/>
    <s v="No"/>
    <m/>
  </r>
  <r>
    <s v="00199"/>
    <d v="2026-03-05T00:00:00"/>
    <n v="54"/>
    <s v="Franco"/>
    <s v="Aprobada"/>
    <m/>
    <m/>
    <m/>
    <m/>
    <x v="0"/>
    <m/>
    <s v="Ventas Retail"/>
    <s v="Comercial"/>
    <s v="Comercial, ventas y cobranzas"/>
    <s v="VENDEDOR/A"/>
    <s v="Serafin"/>
    <m/>
    <x v="3"/>
    <x v="4"/>
    <d v="2026-05-11T00:00:00"/>
    <s v="Baja"/>
    <s v="Media"/>
    <s v="Reemplazo"/>
    <n v="168093"/>
    <s v="PEREDA, VANESSA RITA"/>
    <s v="Renuncia "/>
    <s v="Inderminado "/>
    <m/>
    <m/>
    <m/>
    <m/>
    <m/>
    <m/>
    <m/>
    <m/>
    <m/>
    <m/>
    <m/>
    <m/>
    <m/>
    <m/>
  </r>
  <r>
    <s v="00200"/>
    <d v="2026-03-05T00:00:00"/>
    <n v="54"/>
    <s v="Franco"/>
    <s v="Aprobada"/>
    <m/>
    <m/>
    <m/>
    <m/>
    <x v="0"/>
    <m/>
    <s v="Ventas Retail"/>
    <s v="Comercial"/>
    <s v="Comercial, ventas y cobranzas"/>
    <s v="VENDEDOR/A"/>
    <s v="Serafin"/>
    <m/>
    <x v="3"/>
    <x v="4"/>
    <d v="2026-05-11T00:00:00"/>
    <s v="Baja"/>
    <s v="Media"/>
    <s v="Reemplazo"/>
    <n v="818"/>
    <s v="Contreras, Paula"/>
    <s v="Renuncia "/>
    <s v="Inderminado "/>
    <m/>
    <m/>
    <m/>
    <m/>
    <m/>
    <m/>
    <m/>
    <m/>
    <m/>
    <m/>
    <m/>
    <m/>
    <m/>
    <m/>
  </r>
  <r>
    <s v="00201"/>
    <d v="2026-03-23T00:00:00"/>
    <n v="36"/>
    <s v="Franco"/>
    <s v="Aprobada"/>
    <m/>
    <m/>
    <m/>
    <m/>
    <x v="0"/>
    <m/>
    <s v="Ventas Retail"/>
    <s v="Comercial"/>
    <s v="Comercial, ventas y cobranzas"/>
    <s v="VENDEDOR/A"/>
    <s v="Serafin"/>
    <m/>
    <x v="3"/>
    <x v="4"/>
    <d v="2026-05-11T00:00:00"/>
    <s v="Baja"/>
    <s v="Media"/>
    <s v="Reemplazo"/>
    <n v="1036"/>
    <s v="Miranda, Daira"/>
    <s v="Renuncia "/>
    <s v="Inderminado "/>
    <m/>
    <m/>
    <m/>
    <m/>
    <m/>
    <m/>
    <m/>
    <m/>
    <m/>
    <m/>
    <m/>
    <m/>
    <m/>
    <m/>
  </r>
  <r>
    <s v="00202"/>
    <d v="2026-03-23T00:00:00"/>
    <n v="36"/>
    <s v="Franco"/>
    <s v="Aprobada"/>
    <m/>
    <m/>
    <m/>
    <m/>
    <x v="0"/>
    <m/>
    <s v="Ventas Retail"/>
    <s v="Comercial"/>
    <s v="Comercial, ventas y cobranzas"/>
    <s v="VENDEDOR/A"/>
    <s v="Serafin"/>
    <m/>
    <x v="3"/>
    <x v="4"/>
    <d v="2026-05-11T00:00:00"/>
    <s v="Baja"/>
    <s v="Media"/>
    <s v="Reemplazo"/>
    <n v="170601"/>
    <s v="ROJAS VIDABLE, ROMINA LORENA"/>
    <s v="Renuncia "/>
    <s v="Inderminado "/>
    <m/>
    <m/>
    <m/>
    <m/>
    <m/>
    <m/>
    <m/>
    <m/>
    <m/>
    <m/>
    <m/>
    <m/>
    <m/>
    <m/>
  </r>
  <r>
    <s v="00203"/>
    <d v="2026-03-26T00:00:00"/>
    <n v="33"/>
    <s v="Franco"/>
    <s v="Aprobada"/>
    <m/>
    <m/>
    <m/>
    <m/>
    <x v="0"/>
    <m/>
    <s v="Ventas Retail"/>
    <s v="Comercial"/>
    <s v="Comercial, ventas y cobranzas"/>
    <s v="VENDEDOR/A"/>
    <s v="Serafin"/>
    <m/>
    <x v="3"/>
    <x v="4"/>
    <d v="2026-05-11T00:00:00"/>
    <s v="Baja"/>
    <s v="Media"/>
    <s v="Reemplazo"/>
    <n v="170649"/>
    <s v="DREE, JOEL IGNACIO"/>
    <s v="Desvinculación empresa"/>
    <s v="Inderminado "/>
    <m/>
    <m/>
    <m/>
    <m/>
    <m/>
    <m/>
    <m/>
    <m/>
    <m/>
    <m/>
    <m/>
    <m/>
    <m/>
    <m/>
  </r>
  <r>
    <s v="00204"/>
    <d v="2026-03-30T00:00:00"/>
    <n v="29"/>
    <s v="Franco"/>
    <s v="Aprobada"/>
    <m/>
    <m/>
    <m/>
    <m/>
    <x v="0"/>
    <m/>
    <s v="Ventas Retail"/>
    <s v="Comercial"/>
    <s v="Comercial, ventas y cobranzas"/>
    <s v="VENDEDOR/A"/>
    <s v="Serafin"/>
    <m/>
    <x v="3"/>
    <x v="4"/>
    <d v="2026-05-11T00:00:00"/>
    <s v="Baja"/>
    <s v="Media"/>
    <s v="Reemplazo"/>
    <n v="1099"/>
    <s v="GONZALEZ, RODRIGO CRISTIAN EMMANUEL"/>
    <s v="Renuncia "/>
    <s v="Inderminado "/>
    <m/>
    <m/>
    <m/>
    <m/>
    <m/>
    <m/>
    <m/>
    <m/>
    <m/>
    <m/>
    <m/>
    <m/>
    <m/>
    <m/>
  </r>
  <r>
    <s v="00205"/>
    <d v="2026-03-06T00:00:00"/>
    <s v="Cerrada"/>
    <s v="Franco"/>
    <s v="Aprobada"/>
    <m/>
    <s v="No"/>
    <m/>
    <m/>
    <x v="5"/>
    <m/>
    <s v="OPERACIONES"/>
    <s v="Operaciones"/>
    <s v="Administrativo/a"/>
    <s v="Administrativo/a de atención al paciente"/>
    <s v="Federico Carrasquera"/>
    <m/>
    <x v="4"/>
    <x v="5"/>
    <m/>
    <s v="Baja"/>
    <s v="Media"/>
    <s v="Reemplazo"/>
    <m/>
    <s v="Lorena Gramajo"/>
    <s v="Renuncia "/>
    <s v="Inderminado "/>
    <m/>
    <m/>
    <s v="L a V de 09hs a 17hs o 13hs a 21hs / S por medio de 07 a 15hs"/>
    <s v="CMV"/>
    <m/>
    <m/>
    <m/>
    <m/>
    <s v="Raul Croes"/>
    <m/>
    <m/>
    <m/>
    <m/>
    <m/>
  </r>
  <r>
    <s v="00206"/>
    <d v="2026-03-06T00:00:00"/>
    <s v="Cerrada"/>
    <s v="Jose"/>
    <s v="Rechazada"/>
    <m/>
    <s v="No"/>
    <s v="No"/>
    <m/>
    <x v="4"/>
    <m/>
    <s v="Compras"/>
    <s v="COMPRAS"/>
    <s v="Administrativo/a"/>
    <s v="Administrativo/a de compras"/>
    <s v="Fernando Gini"/>
    <s v="Solange Calle"/>
    <x v="1"/>
    <x v="1"/>
    <m/>
    <s v="Baja"/>
    <s v="Media"/>
    <s v="Apertura de puesto"/>
    <m/>
    <m/>
    <s v="Aumento de trabajo "/>
    <s v="Inderminado "/>
    <m/>
    <m/>
    <m/>
    <m/>
    <m/>
    <m/>
    <s v="Interna"/>
    <m/>
    <m/>
    <m/>
    <m/>
    <m/>
    <m/>
    <m/>
  </r>
  <r>
    <s v="00207"/>
    <d v="2026-03-09T00:00:00"/>
    <s v="Cerrada"/>
    <s v="Jose"/>
    <s v="Aprobada"/>
    <m/>
    <m/>
    <m/>
    <m/>
    <x v="3"/>
    <m/>
    <s v="Hemoterapia"/>
    <s v="Hemoterapia"/>
    <s v="Asistencial/Otros"/>
    <s v="Tecnico/a de Hemoterapia"/>
    <s v="Gonzalez"/>
    <m/>
    <x v="0"/>
    <x v="0"/>
    <m/>
    <s v="Media "/>
    <s v="Alta "/>
    <s v="Reemplazo"/>
    <m/>
    <s v="Lic SANCHEZ, ROSA ESTER"/>
    <s v="Licencia "/>
    <s v="Eventual "/>
    <m/>
    <m/>
    <s v="L a V de 14 a 21h, Sábado de 8 a 12h"/>
    <s v="SANATORIO"/>
    <d v="2026-04-09T00:00:00"/>
    <d v="2025-04-20T00:00:00"/>
    <s v="Externa"/>
    <s v="Referidos"/>
    <s v="Fátima Belén Bisetti"/>
    <s v="$ 1.582.090,14 bruto - $1.307.919,50 neto"/>
    <s v="Sanidad 122/75"/>
    <s v="No"/>
    <s v="No"/>
    <s v="Hemoterapia / Eventual por lic prolongada"/>
  </r>
  <r>
    <s v="00208"/>
    <d v="2026-03-09T00:00:00"/>
    <n v="50"/>
    <s v="Jose"/>
    <s v="Aprobada"/>
    <m/>
    <s v="Si"/>
    <s v="Si"/>
    <m/>
    <x v="3"/>
    <s v="Desarrollos en Salud SA"/>
    <s v="BIOINGENIERIA"/>
    <s v="Bioingenieria"/>
    <s v="Asistencial/Otros"/>
    <s v="Tecnico/a de Bioingeniería"/>
    <s v="Javier Luder"/>
    <m/>
    <x v="3"/>
    <x v="4"/>
    <d v="2026-05-11T00:00:00"/>
    <s v="Media "/>
    <s v="Alta "/>
    <s v="Reemplazo"/>
    <m/>
    <s v="Ignacio Boris Ahumada"/>
    <s v="Desvinculación empresa"/>
    <s v="Inderminado "/>
    <m/>
    <m/>
    <m/>
    <m/>
    <m/>
    <m/>
    <m/>
    <m/>
    <m/>
    <m/>
    <m/>
    <m/>
    <m/>
    <m/>
  </r>
  <r>
    <s v="00209"/>
    <d v="2026-03-09T00:00:00"/>
    <n v="50"/>
    <s v="Jose"/>
    <s v="Aprobada"/>
    <m/>
    <s v="Si"/>
    <s v="Si"/>
    <m/>
    <x v="3"/>
    <m/>
    <s v="CIRUGIA"/>
    <s v="Quirófano"/>
    <s v="Asistencial/Otros"/>
    <s v="Tecnico/a de Hemodinamia"/>
    <s v="Samaja"/>
    <m/>
    <x v="3"/>
    <x v="4"/>
    <d v="2026-05-11T00:00:00"/>
    <s v="Alta "/>
    <s v="Alta "/>
    <s v="Reemplazo"/>
    <m/>
    <s v="Liz Marlene Rodriguez"/>
    <s v="Desvinculación empresa"/>
    <s v="Inderminado "/>
    <m/>
    <m/>
    <m/>
    <m/>
    <m/>
    <m/>
    <m/>
    <m/>
    <m/>
    <m/>
    <m/>
    <m/>
    <m/>
    <m/>
  </r>
  <r>
    <s v="00210"/>
    <d v="2026-03-09T00:00:00"/>
    <n v="50"/>
    <s v="Juanpi"/>
    <s v="Aprobada"/>
    <m/>
    <s v="Si"/>
    <s v="No"/>
    <m/>
    <x v="4"/>
    <m/>
    <m/>
    <m/>
    <s v="Liderazgo"/>
    <s v="Jefe/a de Padron y Aportes"/>
    <s v="Emilio Zalis"/>
    <s v="Maria Rodriguez"/>
    <x v="2"/>
    <x v="3"/>
    <d v="2026-06-15T00:00:00"/>
    <s v="Alta "/>
    <s v="Alta "/>
    <s v="Apertura de puesto"/>
    <m/>
    <m/>
    <s v="Reorganización del área"/>
    <s v="Inderminado "/>
    <m/>
    <m/>
    <m/>
    <s v="Amenabar"/>
    <m/>
    <m/>
    <m/>
    <m/>
    <m/>
    <m/>
    <m/>
    <m/>
    <m/>
    <m/>
  </r>
  <r>
    <s v="00211"/>
    <d v="2026-03-09T00:00:00"/>
    <s v="Cerrada"/>
    <s v="Juanpi"/>
    <s v="Rechazada"/>
    <m/>
    <s v="No"/>
    <m/>
    <m/>
    <x v="0"/>
    <m/>
    <s v="Servicios de Administración"/>
    <m/>
    <s v="Liderazgo"/>
    <s v="Coordinador/a de Sucursales"/>
    <s v="Nacho Jauregui"/>
    <m/>
    <x v="1"/>
    <x v="1"/>
    <m/>
    <s v="N/A"/>
    <s v="N/A"/>
    <s v="Reemplazo"/>
    <m/>
    <s v="Veronica Casati "/>
    <s v="Renuncia "/>
    <s v="Inderminado "/>
    <m/>
    <m/>
    <m/>
    <m/>
    <m/>
    <m/>
    <m/>
    <m/>
    <m/>
    <m/>
    <m/>
    <m/>
    <m/>
    <m/>
  </r>
  <r>
    <s v="00212"/>
    <d v="2026-03-09T00:00:00"/>
    <n v="50"/>
    <s v="Juanpi"/>
    <s v="Aprobada"/>
    <m/>
    <s v="No"/>
    <m/>
    <m/>
    <x v="4"/>
    <m/>
    <s v="GESTION DE PERSONAS"/>
    <s v="ADMINISTRACION Y FINANZAS"/>
    <s v="Analista"/>
    <s v="Analista de Procesos de RRHH"/>
    <s v="Daniela Librizzi"/>
    <m/>
    <x v="3"/>
    <x v="4"/>
    <d v="2026-05-11T00:00:00"/>
    <s v="Alta "/>
    <s v="Alta "/>
    <s v="Reemplazo"/>
    <m/>
    <s v="Eduardo "/>
    <s v="Desvinculación empresa"/>
    <s v="Inderminado "/>
    <m/>
    <m/>
    <m/>
    <s v="La Musa"/>
    <m/>
    <m/>
    <s v="Externa"/>
    <m/>
    <m/>
    <m/>
    <m/>
    <m/>
    <m/>
    <m/>
  </r>
  <r>
    <s v="00213"/>
    <d v="2026-03-12T00:00:00"/>
    <n v="47"/>
    <s v="Ema"/>
    <s v="Aprobada"/>
    <m/>
    <m/>
    <m/>
    <m/>
    <x v="3"/>
    <s v="CIRENDSA"/>
    <s v="Enfermeria"/>
    <s v="Terapia Intensiva"/>
    <s v="Asistencial/Enfermería"/>
    <s v="Enfermero/a de Terapia Intensiva"/>
    <s v="Noelia Alvez"/>
    <m/>
    <x v="3"/>
    <x v="6"/>
    <d v="2026-05-04T00:00:00"/>
    <s v="Baja"/>
    <s v="Alta "/>
    <s v="Reemplazo"/>
    <m/>
    <s v="Sofia Ptasik"/>
    <s v="Desvinculación empresa"/>
    <s v="Inderminado "/>
    <m/>
    <m/>
    <s v="6 a 14 hs"/>
    <s v="SANATORIO"/>
    <d v="2026-04-20T00:00:00"/>
    <d v="2026-05-04T00:00:00"/>
    <s v="Externa"/>
    <m/>
    <s v="Vanesa Baez"/>
    <s v=" $1.732.557,22 bruto /_x0009_ $1.445.732,50 neto"/>
    <s v="122/75"/>
    <m/>
    <m/>
    <m/>
  </r>
  <r>
    <s v="00214"/>
    <d v="2026-03-12T00:00:00"/>
    <n v="47"/>
    <s v="Ema"/>
    <s v="Aprobada"/>
    <m/>
    <m/>
    <m/>
    <m/>
    <x v="3"/>
    <s v="CIRENDSA"/>
    <s v="Enfermeria"/>
    <s v="INTERNACION"/>
    <s v="Asistencial/Enfermería"/>
    <s v="Enfermero/a de Internación"/>
    <s v="Noelia Alvez"/>
    <m/>
    <x v="2"/>
    <x v="7"/>
    <d v="2026-05-18T00:00:00"/>
    <s v="Baja"/>
    <s v="Alta "/>
    <s v="Reemplazo"/>
    <m/>
    <s v="Camila Smidt"/>
    <s v="Renuncia "/>
    <s v="Inderminado "/>
    <m/>
    <m/>
    <s v="TM - 6 a 14 hs"/>
    <s v="SANATORIO"/>
    <m/>
    <m/>
    <m/>
    <m/>
    <m/>
    <m/>
    <m/>
    <m/>
    <m/>
    <s v="CM TM"/>
  </r>
  <r>
    <s v="00215"/>
    <d v="2026-03-12T00:00:00"/>
    <s v="Cerrada"/>
    <s v="Ema"/>
    <s v="Aprobada"/>
    <m/>
    <m/>
    <m/>
    <m/>
    <x v="3"/>
    <s v="CIRENDSA"/>
    <s v="Enfermeria"/>
    <s v="INTERNACION"/>
    <s v="Asistencial/Enfermería"/>
    <s v="Enfermero/a de Internación"/>
    <s v="Noelia Alvez"/>
    <m/>
    <x v="0"/>
    <x v="0"/>
    <m/>
    <s v="Baja"/>
    <s v="Alta "/>
    <s v="Reemplazo"/>
    <m/>
    <s v="Vitte Lorena"/>
    <s v="Licencia "/>
    <s v="Eventual "/>
    <m/>
    <m/>
    <s v="TM - 6 a 14 hs"/>
    <s v="SANATORIO"/>
    <d v="2026-04-01T00:00:00"/>
    <d v="2026-04-08T00:00:00"/>
    <m/>
    <m/>
    <s v="ROMINA SUAREZ"/>
    <s v="Eventual por licencia"/>
    <s v="122/75"/>
    <s v="No"/>
    <s v="No"/>
    <s v="CM TM - Licencia x maternidad"/>
  </r>
  <r>
    <s v="00216"/>
    <d v="2026-03-12T00:00:00"/>
    <s v="Cerrada"/>
    <s v="Franco"/>
    <s v="Aprobada"/>
    <m/>
    <m/>
    <m/>
    <m/>
    <x v="4"/>
    <s v="Healthnes"/>
    <s v="Contact Center"/>
    <s v="Operaciones"/>
    <s v="Administrativo/a"/>
    <s v="Operador call center"/>
    <s v="Zukoski"/>
    <m/>
    <x v="0"/>
    <x v="0"/>
    <d v="2026-04-21T00:00:00"/>
    <s v="Baja"/>
    <s v="Alta "/>
    <s v="Reemplazo"/>
    <m/>
    <s v="ALVAREZ GRASSI, NICOLE CARLA (Beatrice Perdomo)"/>
    <s v="Licencia "/>
    <s v="Eventual "/>
    <m/>
    <m/>
    <s v="full time, de Lunes, Martes y Miércoles de 8 a 18 y Jueves y Viernes de 9 a 18."/>
    <s v="CONTACT CENTER"/>
    <d v="2026-04-07T00:00:00"/>
    <m/>
    <m/>
    <m/>
    <s v="Sofía González Larreal"/>
    <s v=" $1.264.501,58 bruto /_x0009_ $1.032.990,00 neto"/>
    <s v="130/75"/>
    <s v="No"/>
    <s v="No"/>
    <m/>
  </r>
  <r>
    <s v="00217"/>
    <d v="2026-03-12T00:00:00"/>
    <n v="47"/>
    <s v="Ema"/>
    <s v="Aprobada"/>
    <m/>
    <m/>
    <m/>
    <m/>
    <x v="3"/>
    <s v="CIRENDSA"/>
    <s v="Hotelería"/>
    <s v="Internación"/>
    <s v="Servicios Generales"/>
    <s v="MUCAMO/A"/>
    <s v="Valeria Dodero"/>
    <m/>
    <x v="3"/>
    <x v="6"/>
    <d v="2026-05-04T00:00:00"/>
    <s v="Baja"/>
    <s v="Media"/>
    <s v="Reemplazo"/>
    <m/>
    <s v="Maria Belen Rios"/>
    <s v="Desvinculación empresa"/>
    <s v="Eventual "/>
    <m/>
    <m/>
    <s v="14 A 22 HS. Eventual por licencia prolongada de 159156 ANDREA MAREQUE"/>
    <s v="SANATORIO"/>
    <d v="2026-04-20T00:00:00"/>
    <d v="2026-05-04T00:00:00"/>
    <s v="Externa"/>
    <m/>
    <s v="Lorena Garcia"/>
    <s v=" $1.123.895,63 bruto /_x0009_ $946.630,00 neto"/>
    <s v="122/75"/>
    <s v="No"/>
    <s v="No"/>
    <s v="14 A 22 HS. Eventual por licencia prolongada de 159156 ANDREA MAREQUE"/>
  </r>
  <r>
    <s v="00218"/>
    <d v="2026-03-12T00:00:00"/>
    <s v="Cerrada"/>
    <s v="Franco"/>
    <s v="Aprobada"/>
    <m/>
    <m/>
    <m/>
    <m/>
    <x v="4"/>
    <s v="Healtnes"/>
    <s v="Contact Center"/>
    <s v="Operaciones"/>
    <s v="Administrativo/a"/>
    <s v="Operador call center"/>
    <s v="Zukoski"/>
    <m/>
    <x v="0"/>
    <x v="0"/>
    <d v="2026-04-21T00:00:00"/>
    <s v="Baja"/>
    <s v="Alta "/>
    <s v="Reemplazo"/>
    <m/>
    <s v="Nancy Arias"/>
    <s v="Licencia "/>
    <s v="Eventual "/>
    <m/>
    <m/>
    <s v="Lunes a Viernes 9 a 18 hs por Licencia Prol 340 Nancy Arias"/>
    <s v="CONTACT CENTER"/>
    <d v="2026-04-07T00:00:00"/>
    <m/>
    <m/>
    <m/>
    <s v="Luna Celeste Lentini"/>
    <s v=" $1.264.501,58 bruto /_x0009_ $1.032.990,00 neto"/>
    <s v="130/75"/>
    <s v="No"/>
    <s v="No"/>
    <s v="Le dio mal el preoc a Martina Cruz, se retoma la busqueda"/>
  </r>
  <r>
    <s v="00219"/>
    <d v="2026-03-12T00:00:00"/>
    <s v="Cerrada"/>
    <s v="Franco"/>
    <s v="Aprobada"/>
    <m/>
    <m/>
    <m/>
    <m/>
    <x v="4"/>
    <s v="Healthnes SA"/>
    <s v="CONTACT CENTER"/>
    <s v="Operaciones"/>
    <s v="Administrativo/a"/>
    <s v="Operador call center"/>
    <s v="Zukoski"/>
    <m/>
    <x v="0"/>
    <x v="0"/>
    <m/>
    <s v="Baja"/>
    <s v="Alta "/>
    <s v="Reemplazo"/>
    <m/>
    <s v="MARCOS ORTIZ OSCAR"/>
    <s v="Desvinculación empresa"/>
    <s v="Inderminado "/>
    <m/>
    <m/>
    <s v=" lunes a jueves de 11:00 a 20:00 viernes de 12:00 a 20:00 y sábados de 8:00 a 12:00"/>
    <s v="CONTACT CENTER"/>
    <d v="2026-03-11T00:00:00"/>
    <d v="2026-04-08T00:00:00"/>
    <s v="Externa"/>
    <m/>
    <s v="Francisco Olivera"/>
    <s v=" $1.264.501,58 bruto /_x0009_ $1.032.990,00 neto"/>
    <s v="130/75"/>
    <s v="No"/>
    <s v="No"/>
    <m/>
  </r>
  <r>
    <s v="00220"/>
    <d v="2026-03-12T00:00:00"/>
    <s v="Cerrada"/>
    <s v="Franco"/>
    <s v="Aprobada"/>
    <m/>
    <m/>
    <m/>
    <m/>
    <x v="4"/>
    <s v="Healthnes SA"/>
    <s v="CONTACT CENTER"/>
    <s v="Operaciones"/>
    <s v="Administrativo/a"/>
    <s v="Operador call center"/>
    <s v="Zukoski"/>
    <m/>
    <x v="0"/>
    <x v="0"/>
    <m/>
    <s v="Baja"/>
    <s v="Alta "/>
    <s v="Reemplazo"/>
    <m/>
    <s v="Juana D'andrea"/>
    <s v="Desvinculación empresa"/>
    <s v="Inderminado "/>
    <m/>
    <m/>
    <s v="Lunes a Viernes 12 a 17 hs, Sábados 9 a 14 hs (25 hs)"/>
    <s v="CONTACT CENTER"/>
    <d v="2026-03-11T00:00:00"/>
    <d v="2026-04-08T00:00:00"/>
    <s v="Externa"/>
    <m/>
    <s v="Santiago Rivera"/>
    <s v="&quot; $710.649,96 bruto /_x0009_ $567.231,00 neto&quot;"/>
    <s v="130/75"/>
    <s v="No"/>
    <s v="No"/>
    <m/>
  </r>
  <r>
    <s v="00221"/>
    <d v="2026-03-12T00:00:00"/>
    <s v="Cerrada"/>
    <s v="Franco"/>
    <s v="Aprobada"/>
    <m/>
    <m/>
    <m/>
    <m/>
    <x v="4"/>
    <s v="Healthnes SA"/>
    <s v="CONTACT CENTER"/>
    <s v="Operaciones"/>
    <s v="Administrativo/a"/>
    <s v="Operador call center"/>
    <s v="Zukoski"/>
    <m/>
    <x v="0"/>
    <x v="0"/>
    <m/>
    <s v="Baja"/>
    <s v="Alta "/>
    <s v="Reemplazo"/>
    <n v="154571"/>
    <s v="Fiorella Larregina"/>
    <s v="Renuncia "/>
    <s v="Inderminado "/>
    <m/>
    <m/>
    <s v="Lunes a Sábados 9 a 14 hs (25 hs)"/>
    <s v="CONTACT CENTER"/>
    <d v="2026-03-11T00:00:00"/>
    <d v="2026-03-23T00:00:00"/>
    <m/>
    <m/>
    <s v="Sonia Escasena"/>
    <s v="&quot; $710.649,96 bruto /_x0009_ $567.231,00 neto&quot;"/>
    <s v="130/75"/>
    <s v="No"/>
    <s v="No"/>
    <m/>
  </r>
  <r>
    <s v="00222"/>
    <d v="2026-03-17T00:00:00"/>
    <s v="Cerrada"/>
    <s v="Ema"/>
    <s v="Aprobada"/>
    <m/>
    <s v="No"/>
    <s v="Si"/>
    <m/>
    <x v="3"/>
    <m/>
    <s v="ADMISION"/>
    <s v="Consultorios Externos"/>
    <s v="Administrativo/a"/>
    <s v="Administrativo/a de Consultoríos Externos"/>
    <s v="Gomez"/>
    <m/>
    <x v="0"/>
    <x v="0"/>
    <m/>
    <m/>
    <m/>
    <s v="Reemplazo"/>
    <m/>
    <s v="GOITIA PEREZ, DARIANA NAZARET"/>
    <s v="Desvinculación empresa"/>
    <s v="Inderminado "/>
    <m/>
    <m/>
    <s v="Lu a Vie 14 a 20 hs - Sabado x medio 07 a 13 hs "/>
    <s v="SANATORIO"/>
    <m/>
    <d v="2026-03-23T00:00:00"/>
    <m/>
    <m/>
    <s v="CAREN AZAME"/>
    <s v=" $842.805,08 bruto /_x0009_ $697.077,50 neto"/>
    <m/>
    <m/>
    <m/>
    <m/>
  </r>
  <r>
    <s v="00223"/>
    <d v="2026-03-17T00:00:00"/>
    <s v="Cerrada"/>
    <s v="Ema"/>
    <s v="Aprobada"/>
    <m/>
    <s v="No"/>
    <s v="Si"/>
    <m/>
    <x v="3"/>
    <m/>
    <s v="Enfermeria"/>
    <s v="Internación"/>
    <s v="Asistencial/Enfermería"/>
    <s v="Enfermero/a de Internación"/>
    <s v="Noelia Alvez"/>
    <m/>
    <x v="1"/>
    <x v="1"/>
    <m/>
    <m/>
    <m/>
    <s v="Reemplazo"/>
    <m/>
    <s v="MORANT ARTEAGA JUAN CARLOS"/>
    <s v="Desvinculación empresa"/>
    <s v="Inderminado "/>
    <m/>
    <m/>
    <s v="TN - 22 a 06"/>
    <s v="SANATORIO"/>
    <m/>
    <m/>
    <m/>
    <m/>
    <m/>
    <m/>
    <m/>
    <m/>
    <m/>
    <m/>
  </r>
  <r>
    <s v="00224"/>
    <d v="2026-03-17T00:00:00"/>
    <s v="Cerrada"/>
    <s v="Ema"/>
    <s v="Aprobada"/>
    <m/>
    <s v="No"/>
    <s v="Si"/>
    <m/>
    <x v="3"/>
    <m/>
    <s v="Enfermeria"/>
    <s v="Internación"/>
    <s v="Asistencial/Enfermería"/>
    <s v="Enfermero/a de Internación"/>
    <s v="Noelia Alvez"/>
    <m/>
    <x v="1"/>
    <x v="1"/>
    <m/>
    <m/>
    <m/>
    <s v="Reemplazo"/>
    <m/>
    <s v="HERRERA ERIKA YANINA "/>
    <s v="Desvinculación empresa"/>
    <s v="Inderminado "/>
    <m/>
    <m/>
    <s v="TM - 6 a 14 hs"/>
    <s v="SANATORIO"/>
    <m/>
    <m/>
    <m/>
    <m/>
    <m/>
    <m/>
    <m/>
    <m/>
    <m/>
    <m/>
  </r>
  <r>
    <s v="00225"/>
    <d v="2026-03-17T00:00:00"/>
    <s v="Cerrada"/>
    <s v="Ema"/>
    <s v="Aprobada"/>
    <m/>
    <s v="No"/>
    <s v="Si"/>
    <m/>
    <x v="3"/>
    <m/>
    <s v="HOTELERIA"/>
    <s v="INTERNACION"/>
    <s v="Servicios Generales"/>
    <s v="PEON"/>
    <s v="Valeria Dodero"/>
    <m/>
    <x v="0"/>
    <x v="0"/>
    <d v="2026-04-20T00:00:00"/>
    <s v="Baja"/>
    <s v="Baja "/>
    <s v="Reemplazo"/>
    <n v="166950"/>
    <s v="MELILLAN AITOR ALEXIS"/>
    <s v="Desvinculación empresa"/>
    <s v="Indeterminado "/>
    <m/>
    <m/>
    <s v="22 a 6 hs"/>
    <s v="SANATORIO"/>
    <d v="2026-04-20T00:00:00"/>
    <d v="2026-04-20T00:00:00"/>
    <m/>
    <m/>
    <s v="Lihuel Rodriguez"/>
    <s v="Eventual. Se efectiviza el puesto"/>
    <s v="122/75"/>
    <m/>
    <m/>
    <m/>
  </r>
  <r>
    <s v="00226"/>
    <d v="2026-03-17T00:00:00"/>
    <s v="Cerrada"/>
    <s v="Ema"/>
    <s v="Aprobada"/>
    <m/>
    <s v="No"/>
    <s v="Si"/>
    <m/>
    <x v="3"/>
    <m/>
    <s v="HOTELERIA"/>
    <s v="INTERNACION"/>
    <s v="Servicios Generales"/>
    <s v="MUCAMO/A"/>
    <s v="Valeria Dodero"/>
    <m/>
    <x v="1"/>
    <x v="1"/>
    <m/>
    <m/>
    <m/>
    <s v="Reemplazo"/>
    <m/>
    <s v="GALEANO HERRERO LIZ PAOLA"/>
    <s v="Desvinculación empresa"/>
    <m/>
    <m/>
    <m/>
    <m/>
    <s v="SANATORIO"/>
    <m/>
    <m/>
    <m/>
    <m/>
    <m/>
    <m/>
    <m/>
    <m/>
    <m/>
    <m/>
  </r>
  <r>
    <s v="00227"/>
    <d v="2026-03-17T00:00:00"/>
    <n v="42"/>
    <s v="Jose"/>
    <s v="Aprobada"/>
    <m/>
    <s v="No"/>
    <s v="No"/>
    <m/>
    <x v="4"/>
    <m/>
    <s v="LEGALES"/>
    <s v="ADMINISTRACION Y FINANZAS"/>
    <s v="Especialista"/>
    <s v="Abogado/a comercial societario"/>
    <s v="Eduardo Zalis "/>
    <m/>
    <x v="2"/>
    <x v="3"/>
    <d v="2026-05-18T00:00:00"/>
    <s v="Media "/>
    <s v="Alta "/>
    <s v="Reemplazo"/>
    <m/>
    <s v="Maria Soledad Tognozzi"/>
    <s v="Renuncia "/>
    <s v="Inderminado "/>
    <m/>
    <m/>
    <m/>
    <s v="La Musa - Piso 9"/>
    <m/>
    <m/>
    <m/>
    <m/>
    <m/>
    <m/>
    <m/>
    <m/>
    <m/>
    <m/>
  </r>
  <r>
    <s v="00228"/>
    <d v="2026-03-17T00:00:00"/>
    <s v="Cerrada"/>
    <s v="Ema"/>
    <s v="Aprobada"/>
    <m/>
    <m/>
    <m/>
    <m/>
    <x v="3"/>
    <m/>
    <s v="TERAPISTAS INTENSIVOS"/>
    <s v="Terapia Intensiva"/>
    <s v="Asistencial/Médicos"/>
    <s v="MEDICO/A"/>
    <s v="Salcedo"/>
    <m/>
    <x v="0"/>
    <x v="0"/>
    <m/>
    <m/>
    <s v="Alta "/>
    <s v="Reemplazo"/>
    <m/>
    <s v="RODRIGUEZ CASSO, RODOLFO HERNAN"/>
    <s v="Desvinculación empresa"/>
    <s v="Inderminado "/>
    <m/>
    <m/>
    <s v="Miércoles 8 a 20 hs + Viernes 20 a 8 hs"/>
    <s v="SANATORIO"/>
    <d v="2026-04-07T00:00:00"/>
    <m/>
    <m/>
    <m/>
    <s v="Evelyn Gladys Ergueta"/>
    <s v=" $ 2.555.900 bruto / $ 2.082.000 neto"/>
    <s v="AMAP"/>
    <s v="No"/>
    <s v="No"/>
    <m/>
  </r>
  <r>
    <s v="00229"/>
    <d v="2026-03-17T00:00:00"/>
    <s v="Cerrada"/>
    <s v="Ema"/>
    <s v="Aprobada"/>
    <m/>
    <m/>
    <m/>
    <m/>
    <x v="3"/>
    <m/>
    <s v="TERAPISTAS INTENSIVOS"/>
    <s v="Terapia Intensiva"/>
    <s v="Asistencial/Médicos"/>
    <s v="MEDICO/A"/>
    <s v="Salcedo"/>
    <m/>
    <x v="0"/>
    <x v="0"/>
    <m/>
    <m/>
    <s v="Alta "/>
    <s v="Reemplazo"/>
    <m/>
    <s v="WALL, DEBORAH"/>
    <s v="Desvinculación empresa"/>
    <s v="Inderminado "/>
    <m/>
    <m/>
    <s v="Miércoles 8 a 20 hs + Viernes 20 a 8 hs"/>
    <s v="SANATORIO"/>
    <d v="2026-04-07T00:00:00"/>
    <m/>
    <m/>
    <m/>
    <s v="Evelyn Gladys Ergueta"/>
    <s v=" $ 2.555.900 bruto / $ 2.082.000 neto"/>
    <s v="AMAP"/>
    <s v="No"/>
    <s v="No"/>
    <m/>
  </r>
  <r>
    <s v="00230"/>
    <d v="2026-03-17T00:00:00"/>
    <n v="42"/>
    <s v="Jose"/>
    <s v="Aprobada"/>
    <m/>
    <s v="Si"/>
    <m/>
    <m/>
    <x v="4"/>
    <m/>
    <s v="CONVENIOS Y CONTRATACIONES"/>
    <s v="ADMINISTRACION Y FINANZAS"/>
    <s v="Analista"/>
    <s v="Analista de Contrataciones"/>
    <s v="LEONETTI, LAURA LORENA"/>
    <m/>
    <x v="2"/>
    <x v="3"/>
    <d v="2026-06-01T00:00:00"/>
    <s v="Alta "/>
    <s v="Alta "/>
    <s v="Reemplazo"/>
    <m/>
    <s v="Gladys"/>
    <m/>
    <s v="Inderminado "/>
    <m/>
    <m/>
    <m/>
    <m/>
    <m/>
    <m/>
    <m/>
    <m/>
    <m/>
    <m/>
    <m/>
    <m/>
    <m/>
    <m/>
  </r>
  <r>
    <s v="00231"/>
    <d v="2026-03-17T00:00:00"/>
    <n v="42"/>
    <s v="Jose"/>
    <s v="Aprobada"/>
    <m/>
    <s v="No"/>
    <m/>
    <m/>
    <x v="4"/>
    <m/>
    <s v="CONVENIOS Y CONTRATACIONES"/>
    <s v="ADMINISTRACION Y FINANZAS"/>
    <s v="Analista"/>
    <s v="Analista de Contrataciones"/>
    <s v="LEONETTI, LAURA LORENA"/>
    <m/>
    <x v="2"/>
    <x v="3"/>
    <d v="2026-06-01T00:00:00"/>
    <s v="Alta "/>
    <s v="Alta "/>
    <s v="Apertura de puesto"/>
    <m/>
    <m/>
    <m/>
    <s v="Inderminado "/>
    <m/>
    <m/>
    <m/>
    <m/>
    <m/>
    <m/>
    <m/>
    <m/>
    <m/>
    <m/>
    <m/>
    <m/>
    <m/>
    <m/>
  </r>
  <r>
    <s v="00232"/>
    <d v="2026-03-17T00:00:00"/>
    <s v="Cerrada"/>
    <s v="Franco"/>
    <s v="Aprobada"/>
    <m/>
    <m/>
    <m/>
    <m/>
    <x v="3"/>
    <m/>
    <s v="ADMISION"/>
    <s v="Consultorios Externos"/>
    <s v="Administrativo/a"/>
    <s v="Administrativo/a de Consultoríos Externos"/>
    <s v="Gomez"/>
    <m/>
    <x v="0"/>
    <x v="0"/>
    <m/>
    <m/>
    <m/>
    <s v="Reemplazo"/>
    <m/>
    <s v="astrada silvina"/>
    <s v="Desvinculación empresa"/>
    <s v="Inderminado "/>
    <m/>
    <m/>
    <s v="Lu a Vie 14 a 20 hs - Sabado x medio 07 a 13 hs"/>
    <s v="SANATORIO"/>
    <m/>
    <d v="2026-03-23T00:00:00"/>
    <m/>
    <m/>
    <s v="BARBARA CRETA"/>
    <s v=" $842.805,08 bruto /_x0009_ $697.077,50 neto"/>
    <m/>
    <m/>
    <m/>
    <m/>
  </r>
  <r>
    <s v="00233"/>
    <d v="2026-03-17T00:00:00"/>
    <s v="Cerrada"/>
    <s v="Franco"/>
    <s v="Cancelada"/>
    <m/>
    <m/>
    <m/>
    <m/>
    <x v="3"/>
    <m/>
    <s v="ADMISION"/>
    <s v="Consultorios Externos"/>
    <s v="Administrativo/a"/>
    <s v="Administrativo/a de Consultoríos Externos"/>
    <s v="Gomez"/>
    <m/>
    <x v="4"/>
    <x v="5"/>
    <m/>
    <m/>
    <m/>
    <s v="Reemplazo"/>
    <m/>
    <s v="Erika Acuña renuncia viernes 27/3"/>
    <s v="Renuncia "/>
    <m/>
    <m/>
    <m/>
    <m/>
    <m/>
    <m/>
    <m/>
    <m/>
    <m/>
    <m/>
    <m/>
    <m/>
    <m/>
    <m/>
    <s v="No renuncio"/>
  </r>
  <r>
    <s v="00234"/>
    <d v="2026-03-17T00:00:00"/>
    <s v="Cerrada"/>
    <s v="Franco"/>
    <s v="Aprobada"/>
    <m/>
    <m/>
    <m/>
    <m/>
    <x v="3"/>
    <m/>
    <s v="ADMISION"/>
    <s v="Consultorios Externos"/>
    <s v="Administrativo/a"/>
    <s v="Administrativo/a de Consultoríos Externos"/>
    <s v="Gomez"/>
    <m/>
    <x v="0"/>
    <x v="0"/>
    <m/>
    <m/>
    <m/>
    <s v="Reemplazo"/>
    <m/>
    <s v="Roncoroni Romina"/>
    <m/>
    <s v="Inderminado "/>
    <m/>
    <m/>
    <s v="Lun a Vie 6 a 14 hs + Sábados 7 a 13 hs"/>
    <s v="SANATORIO"/>
    <m/>
    <d v="2026-03-23T00:00:00"/>
    <m/>
    <m/>
    <s v="IARA ACUÑA"/>
    <s v="$1.164.203,77 bruto /$976.802,50 neto"/>
    <s v="122/75"/>
    <s v="No"/>
    <s v="No"/>
    <m/>
  </r>
  <r>
    <s v="00235"/>
    <d v="2026-03-17T00:00:00"/>
    <s v="Cerrada"/>
    <s v="Franco"/>
    <s v="Aprobada"/>
    <m/>
    <m/>
    <m/>
    <m/>
    <x v="3"/>
    <m/>
    <s v="ADMISION"/>
    <s v="Consultorios Externos"/>
    <s v="Administrativo/a"/>
    <s v="Administrativo/a de Consultoríos Externos"/>
    <s v="Gomez"/>
    <m/>
    <x v="0"/>
    <x v="0"/>
    <m/>
    <m/>
    <m/>
    <s v="Reemplazo"/>
    <m/>
    <s v="Colombo Lucas"/>
    <m/>
    <m/>
    <m/>
    <m/>
    <m/>
    <m/>
    <m/>
    <d v="2026-03-23T00:00:00"/>
    <m/>
    <m/>
    <s v="Barbara Creta"/>
    <m/>
    <m/>
    <m/>
    <m/>
    <m/>
  </r>
  <r>
    <s v="00236"/>
    <d v="2026-03-17T00:00:00"/>
    <s v="Cerrada"/>
    <s v="Franco"/>
    <s v="Aprobada"/>
    <m/>
    <m/>
    <m/>
    <m/>
    <x v="3"/>
    <m/>
    <s v="ADMISION"/>
    <s v="Consultorios Externos"/>
    <s v="Administrativo/a"/>
    <s v="Administrativo/a de Consultoríos Externos"/>
    <s v="Gomez"/>
    <m/>
    <x v="0"/>
    <x v="0"/>
    <m/>
    <m/>
    <m/>
    <s v="Reemplazo"/>
    <m/>
    <s v="Benitez Carolina"/>
    <m/>
    <m/>
    <m/>
    <m/>
    <m/>
    <m/>
    <m/>
    <d v="2026-03-23T00:00:00"/>
    <m/>
    <m/>
    <s v="Agueros Capri Stefani"/>
    <m/>
    <m/>
    <m/>
    <m/>
    <m/>
  </r>
  <r>
    <s v="00237"/>
    <d v="2026-03-17T00:00:00"/>
    <s v="Cerrada"/>
    <s v="Franco"/>
    <s v="Cancelada"/>
    <m/>
    <m/>
    <m/>
    <m/>
    <x v="3"/>
    <m/>
    <s v="ADMISION"/>
    <s v="Consultorios Externos"/>
    <s v="Administrativo/a"/>
    <s v="Administrativo/a de Consultoríos Externos"/>
    <s v="Gomez"/>
    <m/>
    <x v="1"/>
    <x v="1"/>
    <m/>
    <m/>
    <m/>
    <s v="Reemplazo"/>
    <m/>
    <s v="Morrone Nicolas"/>
    <m/>
    <m/>
    <m/>
    <m/>
    <m/>
    <m/>
    <m/>
    <d v="2026-03-23T00:00:00"/>
    <m/>
    <m/>
    <s v="Acuña Iara"/>
    <m/>
    <m/>
    <m/>
    <m/>
    <s v="Se cancela vacante , error de apertura. Vacante cubierta por Yamila Pacheco"/>
  </r>
  <r>
    <s v="00238"/>
    <d v="2026-03-17T00:00:00"/>
    <s v="Cerrada"/>
    <s v="Franco"/>
    <s v="Aprobada"/>
    <m/>
    <m/>
    <s v="Si"/>
    <s v="22/07/2026 ( fin de pp)"/>
    <x v="3"/>
    <m/>
    <s v="ADMISION"/>
    <s v="Consultorios Externos"/>
    <s v="Administrativo/a"/>
    <s v="Administrativo/a de Consultoríos Externos"/>
    <s v="Gomez"/>
    <m/>
    <x v="4"/>
    <x v="5"/>
    <m/>
    <m/>
    <m/>
    <s v="Reemplazo"/>
    <m/>
    <s v="Posible Baja: Lucila Cortez"/>
    <s v="Desvinculación empresa"/>
    <m/>
    <m/>
    <m/>
    <m/>
    <m/>
    <m/>
    <m/>
    <m/>
    <m/>
    <m/>
    <m/>
    <m/>
    <m/>
    <m/>
    <m/>
  </r>
  <r>
    <s v="00239"/>
    <d v="2026-03-20T00:00:00"/>
    <n v="39"/>
    <s v="Ema"/>
    <s v="Aprobada"/>
    <m/>
    <m/>
    <m/>
    <m/>
    <x v="3"/>
    <s v="CIRENDSA"/>
    <s v="Enfermeria"/>
    <s v="Terapia Intensiva"/>
    <s v="Asistencial/Enfermería"/>
    <s v="Enfermero/a de Terapia Intensiva"/>
    <s v="Noelia Alvez"/>
    <m/>
    <x v="2"/>
    <x v="7"/>
    <d v="2026-05-18T00:00:00"/>
    <s v="Baja"/>
    <s v="Alta "/>
    <s v="Reemplazo"/>
    <m/>
    <s v="Leiva Matias"/>
    <s v="Desvinculación empresa"/>
    <s v="Indeterminado "/>
    <m/>
    <m/>
    <s v="6 a 14 hs"/>
    <s v="SANATORIO"/>
    <m/>
    <m/>
    <m/>
    <m/>
    <m/>
    <m/>
    <m/>
    <m/>
    <m/>
    <m/>
  </r>
  <r>
    <s v="00240"/>
    <d v="2026-03-23T00:00:00"/>
    <s v="Cerrada"/>
    <s v="Ema"/>
    <s v="Aprobada"/>
    <m/>
    <m/>
    <m/>
    <m/>
    <x v="3"/>
    <m/>
    <s v="Enfermeria"/>
    <s v="INTERNACION"/>
    <s v="Asistencial/Enfermería"/>
    <s v="Enfermero/a de Internación"/>
    <s v="Noelia Alvez"/>
    <m/>
    <x v="0"/>
    <x v="0"/>
    <m/>
    <m/>
    <m/>
    <s v="Reemplazo"/>
    <m/>
    <s v="Lorena Vilte"/>
    <s v="Licencia "/>
    <s v="Plazo Fijo"/>
    <m/>
    <m/>
    <s v="6 a 14 hs como eventual por licencia prolongada 156461 Lorena Vilte"/>
    <s v="SANATORIO"/>
    <d v="2026-03-23T00:00:00"/>
    <d v="2026-04-08T00:00:00"/>
    <m/>
    <m/>
    <s v="ROMINA SUAREZ"/>
    <s v=" $1.223.571,44 bruto /_x0009_ $1.024.328,50 neto"/>
    <s v="122/75"/>
    <s v="No"/>
    <s v="No"/>
    <m/>
  </r>
  <r>
    <s v="00241"/>
    <d v="2026-03-25T00:00:00"/>
    <n v="34"/>
    <s v="Ema"/>
    <s v="Aprobada"/>
    <m/>
    <m/>
    <m/>
    <m/>
    <x v="3"/>
    <m/>
    <s v="Enfermeria"/>
    <s v="INTERNACION"/>
    <s v="Asistencial/Enfermería"/>
    <s v="Enfermero/a de Internación"/>
    <s v="Noelia Alvez"/>
    <m/>
    <x v="3"/>
    <x v="6"/>
    <d v="2026-05-04T00:00:00"/>
    <s v="Baja"/>
    <s v="Alta "/>
    <s v="Reemplazo"/>
    <n v="161467"/>
    <s v="PADILLA CHAMBI, JHOSELIN SOLEDAD"/>
    <s v="Movimiento interno"/>
    <s v="Inderminado "/>
    <m/>
    <m/>
    <s v="TT - 14 a 22 HS"/>
    <s v="SANATORIO"/>
    <d v="2026-04-27T00:00:00"/>
    <d v="2026-05-04T00:00:00"/>
    <m/>
    <m/>
    <s v="NADIA CABANA"/>
    <s v=" $1.303.213,92 bruto /_x0009_ $1.093.671,00 neto"/>
    <s v="122/75"/>
    <s v="No"/>
    <s v="No"/>
    <m/>
  </r>
  <r>
    <s v="00242"/>
    <d v="2026-03-25T00:00:00"/>
    <s v="Cerrada"/>
    <s v="Ema"/>
    <s v="Aprobada"/>
    <m/>
    <m/>
    <m/>
    <m/>
    <x v="3"/>
    <m/>
    <s v="Clínica Médica"/>
    <s v="Clinica Medica"/>
    <s v="Asistencial/Médicos"/>
    <s v="MEDICO/A"/>
    <s v="Barone"/>
    <m/>
    <x v="0"/>
    <x v="0"/>
    <m/>
    <s v="Media "/>
    <s v="Alta "/>
    <s v="Reemplazo"/>
    <m/>
    <s v="Lima Pedro"/>
    <s v="Renuncia "/>
    <s v="Inderminado "/>
    <m/>
    <m/>
    <s v="Lunes a Viernes 8 a 14 hs"/>
    <s v="SANATORIO"/>
    <d v="2026-04-07T00:00:00"/>
    <m/>
    <m/>
    <m/>
    <s v="Diego Gabela"/>
    <s v=" $2.667.475,65 bruto /_x0009_ $2.173.992,66 neto"/>
    <s v="AMAP"/>
    <s v="No"/>
    <s v="No"/>
    <m/>
  </r>
  <r>
    <s v="00243"/>
    <d v="2026-03-26T00:00:00"/>
    <n v="33"/>
    <s v="Ema"/>
    <s v="Aprobada"/>
    <m/>
    <m/>
    <m/>
    <m/>
    <x v="5"/>
    <m/>
    <s v="OPERACIONES"/>
    <s v="Operaciones"/>
    <s v="Asistencial/Otros"/>
    <s v="Técnico de prácticas Cardiológicas"/>
    <s v="Claudia Alí"/>
    <m/>
    <x v="2"/>
    <x v="2"/>
    <d v="2026-05-18T00:00:00"/>
    <s v="Media "/>
    <s v="Alta "/>
    <s v="Reemplazo"/>
    <m/>
    <s v="Alejandro Aguinaga"/>
    <m/>
    <s v="Inderminado "/>
    <m/>
    <m/>
    <s v="L a S – Jornada laboral de 8 horas con horario rotativo_x000a_y flexible acorde a la programación de agendas"/>
    <s v="CMV"/>
    <m/>
    <m/>
    <m/>
    <m/>
    <m/>
    <m/>
    <m/>
    <m/>
    <m/>
    <m/>
  </r>
  <r>
    <s v="00244"/>
    <d v="2026-03-26T00:00:00"/>
    <n v="33"/>
    <s v="Jose"/>
    <s v="Aprobada"/>
    <m/>
    <s v="No"/>
    <m/>
    <m/>
    <x v="5"/>
    <m/>
    <s v="OPERACIONES"/>
    <s v="Operaciones"/>
    <s v="Liderazgo"/>
    <s v="Referente de Instrumentación"/>
    <s v="Federico Carrasquera"/>
    <m/>
    <x v="2"/>
    <x v="2"/>
    <d v="2026-06-01T00:00:00"/>
    <s v="Alta "/>
    <s v="Media"/>
    <s v="Apertura de puesto"/>
    <m/>
    <m/>
    <m/>
    <s v="Inderminado "/>
    <m/>
    <m/>
    <s v="Jornada flexible acorde a la actividad"/>
    <s v="CMV"/>
    <m/>
    <m/>
    <m/>
    <m/>
    <m/>
    <m/>
    <m/>
    <s v="Si"/>
    <m/>
    <m/>
  </r>
  <r>
    <s v="00245"/>
    <d v="2026-03-27T00:00:00"/>
    <s v="Cerrada"/>
    <s v="Ema"/>
    <s v="Aprobada"/>
    <m/>
    <m/>
    <m/>
    <m/>
    <x v="3"/>
    <m/>
    <s v="Enfermeria"/>
    <s v="INTERNACION"/>
    <s v="Asistencial/Enfermería"/>
    <s v="Enfermero/a de Internación"/>
    <s v="Noelia Alvez"/>
    <m/>
    <x v="1"/>
    <x v="7"/>
    <m/>
    <s v="Baja"/>
    <s v="Alta "/>
    <s v="Reemplazo"/>
    <m/>
    <m/>
    <m/>
    <s v="Inderminado "/>
    <m/>
    <m/>
    <s v="TT - 14 a 22 HS"/>
    <s v="SANATORIO"/>
    <m/>
    <m/>
    <m/>
    <m/>
    <m/>
    <m/>
    <m/>
    <m/>
    <m/>
    <m/>
  </r>
  <r>
    <s v="00246"/>
    <d v="2026-03-27T00:00:00"/>
    <s v="Cerrada"/>
    <s v="Ema"/>
    <s v="Aprobada"/>
    <m/>
    <m/>
    <m/>
    <m/>
    <x v="3"/>
    <m/>
    <s v="Enfermeria"/>
    <s v="INTERNACION"/>
    <s v="Asistencial/Enfermería"/>
    <s v="Enfermero/a de Internación"/>
    <s v="Noelia Alvez"/>
    <m/>
    <x v="1"/>
    <x v="7"/>
    <m/>
    <s v="Baja"/>
    <s v="Alta "/>
    <m/>
    <m/>
    <s v="Sobre cápita"/>
    <s v="Sobre cápita"/>
    <s v="Inderminado "/>
    <m/>
    <m/>
    <s v="TT - 14 a 22 HS"/>
    <s v="SANATORIO"/>
    <m/>
    <m/>
    <m/>
    <m/>
    <m/>
    <m/>
    <m/>
    <m/>
    <m/>
    <m/>
  </r>
  <r>
    <s v="00247"/>
    <d v="2026-03-27T00:00:00"/>
    <s v="Cerrada"/>
    <s v="Ema"/>
    <s v="Aprobada"/>
    <m/>
    <m/>
    <m/>
    <m/>
    <x v="3"/>
    <m/>
    <s v="Enfermeria"/>
    <s v="INTERNACION"/>
    <s v="Asistencial/Enfermería"/>
    <s v="Enfermero/a de Internación"/>
    <s v="Noelia Alvez"/>
    <m/>
    <x v="1"/>
    <x v="7"/>
    <m/>
    <s v="Baja"/>
    <s v="Alta "/>
    <s v="Apertura de puesto"/>
    <m/>
    <s v="Sobre cápita"/>
    <s v="Sobre cápita"/>
    <s v="Inderminado "/>
    <m/>
    <m/>
    <s v="TT - 14 a 22 HS"/>
    <s v="SANATORIO"/>
    <m/>
    <m/>
    <m/>
    <m/>
    <m/>
    <m/>
    <m/>
    <m/>
    <m/>
    <m/>
  </r>
  <r>
    <s v="00248"/>
    <d v="2026-03-27T00:00:00"/>
    <s v="Cerrada"/>
    <s v="Ema"/>
    <s v="Aprobada"/>
    <m/>
    <m/>
    <m/>
    <m/>
    <x v="3"/>
    <m/>
    <s v="Enfermeria"/>
    <s v="INTERNACION"/>
    <s v="Asistencial/Enfermería"/>
    <s v="Enfermero/a de Internación"/>
    <s v="Noelia Alvez"/>
    <m/>
    <x v="1"/>
    <x v="7"/>
    <m/>
    <s v="Baja"/>
    <s v="Alta "/>
    <s v="Apertura de puesto"/>
    <m/>
    <s v="Sobre cápita"/>
    <s v="Sobre cápita"/>
    <s v="Inderminado "/>
    <m/>
    <m/>
    <s v="TT - 14 a 22 HS"/>
    <s v="SANATORIO"/>
    <m/>
    <m/>
    <m/>
    <m/>
    <m/>
    <m/>
    <m/>
    <m/>
    <m/>
    <m/>
  </r>
  <r>
    <s v="00249"/>
    <d v="2026-03-27T00:00:00"/>
    <s v="Cerrada"/>
    <s v="Ema"/>
    <s v="Aprobada"/>
    <m/>
    <m/>
    <m/>
    <m/>
    <x v="3"/>
    <m/>
    <s v="Enfermeria"/>
    <s v="INTERNACION"/>
    <s v="Asistencial/Enfermería"/>
    <s v="Enfermero/a de Internación"/>
    <s v="Noelia Alvez"/>
    <m/>
    <x v="0"/>
    <x v="0"/>
    <m/>
    <s v="Baja"/>
    <s v="Alta "/>
    <s v="Apertura de puesto"/>
    <m/>
    <s v="Sobre cápita"/>
    <s v="Sobre cápita"/>
    <s v="Indeterminado "/>
    <m/>
    <m/>
    <s v="TN - 22 a 6 HS"/>
    <s v="SANATORIO"/>
    <d v="2026-04-20T00:00:00"/>
    <d v="2026-04-20T00:00:00"/>
    <m/>
    <m/>
    <s v="Nancy Prieto "/>
    <s v="Eventual. Se efectiviza el puesto"/>
    <m/>
    <m/>
    <m/>
    <m/>
  </r>
  <r>
    <s v="00250"/>
    <d v="2026-03-27T00:00:00"/>
    <s v="Cerrada"/>
    <s v="Ema"/>
    <s v="Aprobada"/>
    <m/>
    <m/>
    <m/>
    <m/>
    <x v="3"/>
    <m/>
    <s v="Enfermeria"/>
    <s v="INTERNACION"/>
    <s v="Asistencial/Enfermería"/>
    <s v="Enfermero/a de Internación"/>
    <s v="Noelia Alvez"/>
    <m/>
    <x v="0"/>
    <x v="0"/>
    <m/>
    <s v="Baja"/>
    <s v="Alta "/>
    <s v="Apertura de puesto"/>
    <m/>
    <s v="Sobre cápita"/>
    <s v="Sobre cápita"/>
    <s v="Indeterminado "/>
    <m/>
    <m/>
    <s v="TN - 22 a 6 HS"/>
    <s v="SANATORIO"/>
    <d v="2026-04-20T00:00:00"/>
    <d v="2026-04-20T00:00:00"/>
    <m/>
    <m/>
    <s v="Audrey Pulido "/>
    <s v="Eventual. Se efectiviza el puesto"/>
    <m/>
    <m/>
    <m/>
    <m/>
  </r>
  <r>
    <s v="00251"/>
    <d v="2026-03-27T00:00:00"/>
    <s v="Cerrada"/>
    <s v="Ema"/>
    <s v="Aprobada"/>
    <m/>
    <m/>
    <m/>
    <m/>
    <x v="3"/>
    <s v="Desarrollos en Salud SA"/>
    <s v="Enfermeria"/>
    <s v="Área Cerrada"/>
    <s v="Asistencial/Enfermería"/>
    <s v="Enfermero/a de área cerrada (UCO/UTI)"/>
    <s v="Noelia Alvez"/>
    <m/>
    <x v="1"/>
    <x v="10"/>
    <m/>
    <s v="Baja"/>
    <s v="Alta "/>
    <s v="Apertura de puesto"/>
    <m/>
    <s v="Sobre cápita"/>
    <s v="Sobre cápita"/>
    <s v="Inderminado "/>
    <m/>
    <m/>
    <m/>
    <s v="SANATORIO"/>
    <m/>
    <m/>
    <m/>
    <m/>
    <m/>
    <m/>
    <m/>
    <m/>
    <m/>
    <m/>
  </r>
  <r>
    <s v="00252"/>
    <d v="2026-03-27T00:00:00"/>
    <s v="Cerrada"/>
    <s v="Ema"/>
    <s v="Aprobada"/>
    <m/>
    <m/>
    <m/>
    <m/>
    <x v="3"/>
    <s v="Desarrollos en Salud SA"/>
    <s v="Enfermeria"/>
    <s v="Área Cerrada"/>
    <s v="Asistencial/Enfermería"/>
    <s v="Enfermero/a de área cerrada (UCO/UTI)"/>
    <s v="Noelia Alvez"/>
    <m/>
    <x v="1"/>
    <x v="10"/>
    <m/>
    <s v="Baja"/>
    <s v="Alta "/>
    <s v="Apertura de puesto"/>
    <m/>
    <s v="Sobre cápita"/>
    <s v="Sobre cápita"/>
    <s v="Inderminado "/>
    <m/>
    <m/>
    <m/>
    <s v="SANATORIO"/>
    <m/>
    <m/>
    <m/>
    <m/>
    <m/>
    <m/>
    <m/>
    <m/>
    <m/>
    <m/>
  </r>
  <r>
    <s v="00253"/>
    <d v="2026-03-30T00:00:00"/>
    <n v="29"/>
    <s v="Ema"/>
    <s v="Aprobada"/>
    <m/>
    <s v="Si"/>
    <s v="Si"/>
    <m/>
    <x v="5"/>
    <m/>
    <s v="Enfermeria"/>
    <s v="Operaciones"/>
    <s v="Asistencial/Enfermería"/>
    <s v="ENFERMERO/A"/>
    <s v="Claudia Alí"/>
    <m/>
    <x v="2"/>
    <x v="7"/>
    <d v="2026-06-01T00:00:00"/>
    <s v="Baja"/>
    <s v="Media"/>
    <s v="Reemplazo"/>
    <m/>
    <s v="Adriana Abigail Tinte"/>
    <s v="Desvinculación empresa"/>
    <s v="Inderminado "/>
    <m/>
    <m/>
    <s v="L a V de 07hs a 15hs / S por medio de_x000a_07 a 15hs"/>
    <s v="CMV"/>
    <m/>
    <m/>
    <s v="Externa"/>
    <m/>
    <m/>
    <m/>
    <m/>
    <m/>
    <m/>
    <s v="Fin de Periodo de prueba"/>
  </r>
  <r>
    <s v="00254"/>
    <d v="2026-03-30T00:00:00"/>
    <n v="29"/>
    <s v="Ema"/>
    <s v="Aprobada"/>
    <m/>
    <s v="Si"/>
    <s v="Si"/>
    <m/>
    <x v="5"/>
    <m/>
    <s v="Enfermeria"/>
    <s v="Operaciones"/>
    <s v="Asistencial/Enfermería"/>
    <s v="ENFERMERO/A"/>
    <s v="Claudia Alí"/>
    <m/>
    <x v="2"/>
    <x v="7"/>
    <d v="2026-06-01T00:00:00"/>
    <s v="Baja"/>
    <s v="Media"/>
    <s v="Reemplazo"/>
    <m/>
    <s v="Rosa Soledad Mamani"/>
    <s v="Desvinculación empresa"/>
    <s v="Inderminado "/>
    <m/>
    <m/>
    <s v="L a V de 13hs a 21hs / S por medio de 07 a 15hs"/>
    <s v="CMV"/>
    <m/>
    <m/>
    <s v="Externa"/>
    <m/>
    <m/>
    <m/>
    <m/>
    <m/>
    <m/>
    <s v="Fin de Periodo de prueba"/>
  </r>
  <r>
    <s v="00255"/>
    <d v="2026-03-30T00:00:00"/>
    <s v="Cerrada"/>
    <s v="Franco"/>
    <s v="Aprobada"/>
    <m/>
    <s v="No"/>
    <m/>
    <m/>
    <x v="5"/>
    <m/>
    <s v="Operaciones"/>
    <s v="Operaciones"/>
    <s v="Servicios Generales"/>
    <s v="OFICIAL DE MANTENIMIENTO"/>
    <s v="Federico Carrasquera"/>
    <m/>
    <x v="0"/>
    <x v="0"/>
    <m/>
    <s v="Baja"/>
    <s v="Alta "/>
    <s v="Reemplazo"/>
    <m/>
    <s v="Ignacio Rupcich"/>
    <s v="Renuncia "/>
    <s v="Indeterminado "/>
    <m/>
    <m/>
    <s v="L a V de 08hs a 16hs / S de 08 a 13hs"/>
    <s v="CMV"/>
    <d v="2026-04-21T00:00:00"/>
    <d v="2026-04-23T00:00:00"/>
    <s v="Externa"/>
    <m/>
    <s v="Daniel Belmontes"/>
    <s v="$1.581.099,38 bruto /  $1.290.884,50 neto"/>
    <s v="130/75"/>
    <s v="No"/>
    <s v="No"/>
    <m/>
  </r>
  <r>
    <s v="00256"/>
    <d v="2026-03-31T00:00:00"/>
    <n v="28"/>
    <s v="Franco"/>
    <s v="Aprobada"/>
    <m/>
    <m/>
    <m/>
    <m/>
    <x v="3"/>
    <s v="Desarrollos en salud"/>
    <s v="Obras"/>
    <s v="Servicios de Apoyo"/>
    <s v="Mantenimiento y obras"/>
    <s v="Albañil"/>
    <s v="Tejedor"/>
    <m/>
    <x v="2"/>
    <x v="7"/>
    <d v="2026-05-11T00:00:00"/>
    <s v="Baja"/>
    <s v="Alta "/>
    <s v="Reemplazo"/>
    <n v="169386"/>
    <s v="Cristian Aguilar"/>
    <s v="Desvinculación empresa"/>
    <s v="Inderminado "/>
    <m/>
    <m/>
    <s v="Lunes a viernes de 8 a 17hs"/>
    <s v="SANATORIO"/>
    <m/>
    <m/>
    <s v="Externa"/>
    <m/>
    <m/>
    <s v="$1.190.191,57 bruto / $996.957,00 neto"/>
    <s v="122/75"/>
    <s v="No"/>
    <s v="No"/>
    <s v="Contabamos con un candidato para ingresar el dia 20/4/26 (Diego Veron) pero dejo de responder a la cita"/>
  </r>
  <r>
    <s v="00257"/>
    <d v="2026-04-01T00:00:00"/>
    <n v="27"/>
    <s v="Juanpi"/>
    <s v="Aprobada"/>
    <m/>
    <s v="No"/>
    <m/>
    <m/>
    <x v="0"/>
    <m/>
    <s v="Business Inteligence"/>
    <s v="Administración"/>
    <s v="Analista IT"/>
    <s v="Analista Business Analytics"/>
    <s v="Ignacio Jaregui"/>
    <m/>
    <x v="2"/>
    <x v="2"/>
    <d v="2026-06-15T00:00:00"/>
    <s v="Alta "/>
    <s v="Media"/>
    <s v="Reemplazo"/>
    <m/>
    <m/>
    <s v="Desvinculación empresa"/>
    <s v="Inderminado "/>
    <m/>
    <m/>
    <m/>
    <m/>
    <m/>
    <m/>
    <m/>
    <m/>
    <m/>
    <m/>
    <m/>
    <m/>
    <m/>
    <m/>
  </r>
  <r>
    <s v="00258"/>
    <d v="2026-04-01T00:00:00"/>
    <s v="Cerrada"/>
    <s v="Franco"/>
    <s v="Aprobada"/>
    <m/>
    <m/>
    <m/>
    <m/>
    <x v="3"/>
    <m/>
    <s v="ADMISION"/>
    <s v="Consultorios Externos"/>
    <s v="Administrativo/a"/>
    <s v="Administrativo/a de Consultoríos Externos"/>
    <s v="Gomez"/>
    <m/>
    <x v="0"/>
    <x v="0"/>
    <d v="2026-04-21T00:00:00"/>
    <m/>
    <m/>
    <s v="Reemplazo"/>
    <m/>
    <s v="Aldana Mareco"/>
    <s v="Renuncia "/>
    <s v="Indeterminado "/>
    <m/>
    <m/>
    <s v="Lunes a Viernes 14 a 20 hs. Sábado por medio 7 a 13 hs."/>
    <s v="SANATORIO"/>
    <d v="2026-04-17T00:00:00"/>
    <d v="2026-04-21T00:00:00"/>
    <m/>
    <m/>
    <s v="Maria Ines Aquino"/>
    <s v="$896.354,91 bruto /  $743.214,00 neto"/>
    <s v="122/75"/>
    <s v="No"/>
    <s v="No"/>
    <m/>
  </r>
  <r>
    <s v="00259"/>
    <d v="2026-04-01T00:00:00"/>
    <s v="Cerrada"/>
    <s v="Franco"/>
    <s v="Aprobada"/>
    <m/>
    <m/>
    <m/>
    <m/>
    <x v="3"/>
    <m/>
    <s v="ADMISION"/>
    <s v="Consultorios Externos"/>
    <s v="Administrativo/a"/>
    <s v="Administrativo/a de Consultoríos Externos"/>
    <s v="Gomez"/>
    <m/>
    <x v="4"/>
    <x v="5"/>
    <m/>
    <m/>
    <m/>
    <s v="Reemplazo"/>
    <m/>
    <s v="Victoria Sánchez Ochoa"/>
    <s v="Renuncia "/>
    <s v="Indeterminado "/>
    <m/>
    <m/>
    <m/>
    <m/>
    <m/>
    <m/>
    <m/>
    <m/>
    <m/>
    <m/>
    <m/>
    <m/>
    <m/>
    <m/>
  </r>
  <r>
    <s v="00260"/>
    <d v="2026-03-30T00:00:00"/>
    <n v="29"/>
    <s v="Ema"/>
    <s v="Aprobada"/>
    <m/>
    <s v="No"/>
    <s v="No"/>
    <m/>
    <x v="3"/>
    <m/>
    <s v="HOTELERIA"/>
    <s v="INTERNACION"/>
    <s v="Servicios Generales"/>
    <s v="MUCAMO/A"/>
    <s v="Valeria Dodero"/>
    <m/>
    <x v="3"/>
    <x v="4"/>
    <d v="2026-05-11T00:00:00"/>
    <s v="Baja"/>
    <s v="Alta "/>
    <s v="Reemplazo"/>
    <m/>
    <s v="Ivan Flores"/>
    <s v="Movimiento interno"/>
    <s v="Inderminado "/>
    <m/>
    <m/>
    <s v="TM - 6 A 14 HS"/>
    <s v="SANATORIO"/>
    <m/>
    <m/>
    <s v="Externa"/>
    <m/>
    <s v="KARINA LEDESMA"/>
    <m/>
    <m/>
    <m/>
    <m/>
    <s v="Pase a Enfermería"/>
  </r>
  <r>
    <s v="00261"/>
    <d v="2026-03-30T00:00:00"/>
    <s v="Cerrada"/>
    <s v="Ema"/>
    <s v="Aprobada"/>
    <m/>
    <s v="No"/>
    <s v="No"/>
    <m/>
    <x v="3"/>
    <m/>
    <s v="HOTELERIA"/>
    <s v="INTERNACION"/>
    <s v="Servicios Generales"/>
    <s v="MUCAMO/A"/>
    <s v="Valeria Dodero"/>
    <m/>
    <x v="0"/>
    <x v="0"/>
    <m/>
    <m/>
    <m/>
    <s v="Reemplazo"/>
    <m/>
    <s v="Leticia Díaz"/>
    <s v="Movimiento interno"/>
    <s v="Inderminado "/>
    <m/>
    <m/>
    <s v="TM - 6 A 14 HS"/>
    <s v="SANATORIO"/>
    <d v="2026-04-20T00:00:00"/>
    <d v="2026-04-20T00:00:00"/>
    <s v="Externa"/>
    <m/>
    <s v="LISSETT FUENTES"/>
    <s v="Eventual. Se efectiviza el puesto"/>
    <m/>
    <m/>
    <m/>
    <s v="Pase a Enfermería"/>
  </r>
  <r>
    <s v="00262"/>
    <d v="2026-03-30T00:00:00"/>
    <s v="Cerrada"/>
    <s v="Ema"/>
    <s v="Aprobada"/>
    <m/>
    <s v="No"/>
    <s v="No"/>
    <m/>
    <x v="3"/>
    <m/>
    <s v="HOTELERIA"/>
    <s v="INTERNACION"/>
    <s v="Servicios Generales"/>
    <s v="MUCAMO/A"/>
    <s v="Valeria Dodero"/>
    <m/>
    <x v="0"/>
    <x v="0"/>
    <m/>
    <m/>
    <m/>
    <s v="Reemplazo"/>
    <m/>
    <s v="Mayra Insaurralde"/>
    <s v="Renuncia "/>
    <s v="Inderminado "/>
    <m/>
    <m/>
    <s v="TM - 6 A 14 HS"/>
    <s v="SANATORIO"/>
    <d v="2026-04-20T00:00:00"/>
    <d v="2026-04-20T00:00:00"/>
    <s v="Externa"/>
    <m/>
    <s v="FANNY QUINTEROS"/>
    <s v="Eventual. Se efectiviza el puesto"/>
    <s v="122/75"/>
    <m/>
    <m/>
    <s v="Renuncia 06/03"/>
  </r>
  <r>
    <s v="00263"/>
    <d v="2026-03-30T00:00:00"/>
    <s v="Cerrada"/>
    <s v="Ema"/>
    <s v="Cancelada"/>
    <m/>
    <s v="No"/>
    <s v="No"/>
    <m/>
    <x v="3"/>
    <m/>
    <s v="HOTELERIA"/>
    <s v="INTERNACION"/>
    <s v="Servicios Generales"/>
    <s v="MUCAMO/A"/>
    <s v="Valeria Dodero"/>
    <m/>
    <x v="1"/>
    <x v="1"/>
    <m/>
    <m/>
    <m/>
    <s v="Reemplazo"/>
    <m/>
    <s v="Wilma Rojas"/>
    <s v="Renuncia "/>
    <s v="Eventual "/>
    <m/>
    <m/>
    <s v="Vacaciones TM"/>
    <s v="SANATORIO"/>
    <m/>
    <m/>
    <s v="Externa"/>
    <m/>
    <m/>
    <m/>
    <m/>
    <m/>
    <m/>
    <s v="Renuncia 18/03 "/>
  </r>
  <r>
    <s v="00264"/>
    <d v="2026-03-30T00:00:00"/>
    <n v="29"/>
    <s v="Ema"/>
    <s v="Aprobada"/>
    <m/>
    <s v="No"/>
    <s v="No"/>
    <m/>
    <x v="3"/>
    <m/>
    <s v="KINESIOLOGIA"/>
    <s v="Terapia Intensiva"/>
    <s v="Asistencial/Otros"/>
    <s v="KINESIOLOGO/A"/>
    <s v="Laredo Rodrigo"/>
    <m/>
    <x v="2"/>
    <x v="10"/>
    <d v="2026-06-01T00:00:00"/>
    <s v="Baja"/>
    <s v="Media"/>
    <s v="Reemplazo"/>
    <m/>
    <s v="Camio Micaela"/>
    <s v="Licencia "/>
    <s v="Eventual "/>
    <m/>
    <m/>
    <s v="14 a 20 / s/d 8 a 20"/>
    <s v="SANATORIO"/>
    <m/>
    <m/>
    <s v="Externa"/>
    <m/>
    <m/>
    <m/>
    <m/>
    <m/>
    <m/>
    <m/>
  </r>
  <r>
    <s v="00265"/>
    <d v="2026-04-01T00:00:00"/>
    <n v="27"/>
    <s v="Ema"/>
    <s v="Aprobada"/>
    <m/>
    <s v="No"/>
    <s v="No"/>
    <m/>
    <x v="3"/>
    <m/>
    <s v="CLINICA MEDICA"/>
    <s v="INTERNACION"/>
    <s v="Liderazgo"/>
    <s v="COORDINADOR/A"/>
    <s v="Barone"/>
    <m/>
    <x v="2"/>
    <x v="11"/>
    <d v="2026-05-18T00:00:00"/>
    <s v="Media "/>
    <s v="Alta "/>
    <s v="Reemplazo"/>
    <m/>
    <s v="Lima Pedro"/>
    <s v="Renuncia "/>
    <s v="Inderminado "/>
    <m/>
    <m/>
    <m/>
    <m/>
    <m/>
    <m/>
    <m/>
    <m/>
    <m/>
    <m/>
    <m/>
    <m/>
    <m/>
    <m/>
  </r>
  <r>
    <s v="00266"/>
    <d v="2026-04-01T00:00:00"/>
    <n v="27"/>
    <s v="Ema"/>
    <s v="Aprobada"/>
    <m/>
    <s v="No"/>
    <s v="No"/>
    <m/>
    <x v="3"/>
    <m/>
    <s v="LABORATORIO"/>
    <s v="INTERNACION"/>
    <s v="Asistencial/Otros"/>
    <s v="TECNICO/A"/>
    <s v="Scarcelli"/>
    <m/>
    <x v="3"/>
    <x v="6"/>
    <d v="2026-05-01T00:00:00"/>
    <s v="Media "/>
    <s v="Alta "/>
    <s v="Reemplazo"/>
    <m/>
    <s v="Violeta Chinski"/>
    <s v="Renuncia "/>
    <s v="Inderminado "/>
    <m/>
    <m/>
    <s v="Lunes a Sábados 14 a 22 hs"/>
    <s v="SANATORIO"/>
    <d v="2026-04-21T00:00:00"/>
    <d v="2026-05-04T00:00:00"/>
    <s v="Externa"/>
    <m/>
    <s v="MAIA ZANE"/>
    <s v=" $1.615.215,71 bruto /_x0009_ $1.098.029,50 neto"/>
    <s v="122/75"/>
    <s v="No"/>
    <s v="No"/>
    <m/>
  </r>
  <r>
    <s v="00267"/>
    <d v="2026-04-01T00:00:00"/>
    <n v="27"/>
    <s v="Ema"/>
    <s v="Aprobada"/>
    <m/>
    <s v="No"/>
    <s v="No"/>
    <m/>
    <x v="3"/>
    <s v="CIRENDSA"/>
    <s v="Enfermeria"/>
    <s v="Área Cerrada"/>
    <s v="Asistencial/Enfermería"/>
    <s v="Enfermero/a de área cerrada (UCO/UTI)"/>
    <s v="Noelia Alvez"/>
    <m/>
    <x v="2"/>
    <x v="7"/>
    <d v="2026-05-18T00:00:00"/>
    <s v="Baja"/>
    <s v="Alta "/>
    <s v="Reemplazo"/>
    <m/>
    <s v="Sandra Davila"/>
    <s v="Renuncia "/>
    <s v="Inderminado "/>
    <m/>
    <m/>
    <s v="6 a 14 hs"/>
    <s v="SANATORIO"/>
    <m/>
    <m/>
    <s v="Externa"/>
    <m/>
    <m/>
    <m/>
    <m/>
    <m/>
    <m/>
    <m/>
  </r>
  <r>
    <s v="00268"/>
    <d v="2026-04-13T00:00:00"/>
    <n v="15"/>
    <s v="Jose"/>
    <s v="Aprobada"/>
    <m/>
    <s v="No"/>
    <m/>
    <m/>
    <x v="5"/>
    <m/>
    <s v="Atención al Paciente"/>
    <s v="Operaciones"/>
    <s v="Administrativo/a"/>
    <s v="FACTURISTA"/>
    <s v="Valeria Rios"/>
    <m/>
    <x v="2"/>
    <x v="2"/>
    <d v="2026-06-01T00:00:00"/>
    <s v="Baja"/>
    <s v="Baja "/>
    <s v="Reemplazo"/>
    <n v="11"/>
    <s v="NEGRI, ELENA GLADYS"/>
    <s v="Jubilación"/>
    <s v="Inderminado "/>
    <m/>
    <m/>
    <s v="9 a 18 hs lunes a Viernes"/>
    <s v="Sede Amenabar"/>
    <m/>
    <m/>
    <s v="Externa"/>
    <m/>
    <m/>
    <m/>
    <m/>
    <m/>
    <m/>
    <m/>
  </r>
  <r>
    <s v="00269"/>
    <d v="2026-03-31T00:00:00"/>
    <s v="Cerrada"/>
    <s v="Juanpi"/>
    <s v="Aprobada"/>
    <m/>
    <s v="No"/>
    <m/>
    <m/>
    <x v="4"/>
    <s v="Cobensil SA"/>
    <s v="Pagos"/>
    <s v="ADMINISTRACION Y FINANZAS"/>
    <s v="Administrativo/a"/>
    <s v="ADMINISTRATIVO/A"/>
    <s v="Carla Fado"/>
    <m/>
    <x v="0"/>
    <x v="0"/>
    <m/>
    <m/>
    <m/>
    <s v="Reemplazo"/>
    <m/>
    <s v="Analia Olmeda"/>
    <s v="Renuncia "/>
    <s v="Inderminado "/>
    <m/>
    <m/>
    <s v="9 a 18 hs lunes a Viernes"/>
    <s v="La Musa"/>
    <d v="2026-04-07T00:00:00"/>
    <d v="2026-04-08T00:00:00"/>
    <s v="Interna"/>
    <s v="Búsqueda Interna"/>
    <s v="Tirado Laurente, Florencia "/>
    <m/>
    <m/>
    <m/>
    <m/>
    <m/>
  </r>
  <r>
    <s v="00270"/>
    <d v="2026-03-27T00:00:00"/>
    <s v="Cerrada"/>
    <s v="Ema"/>
    <s v="Aprobada"/>
    <m/>
    <s v="No"/>
    <s v="No"/>
    <m/>
    <x v="3"/>
    <m/>
    <s v="CLINICA MEDICA"/>
    <s v="INTERNACION"/>
    <s v="Asistencial/Enfermería"/>
    <s v="ENFERMERO/A"/>
    <s v="Alvez"/>
    <m/>
    <x v="0"/>
    <x v="0"/>
    <m/>
    <s v="Baja"/>
    <s v="Baja"/>
    <s v="Reemplazo"/>
    <n v="168864"/>
    <s v="_x0009_QUISPE JAUREGUI, LUIS"/>
    <s v="Renuncia "/>
    <s v="Indeterminado "/>
    <m/>
    <m/>
    <s v="14 a 22 hs"/>
    <s v="SANATORIO"/>
    <d v="2026-04-20T00:00:00"/>
    <d v="2026-04-20T00:00:00"/>
    <m/>
    <m/>
    <s v="ROCIO LANZALOT"/>
    <s v="Eventual. Se efectiviza el puesto"/>
    <s v="122/75"/>
    <m/>
    <m/>
    <m/>
  </r>
  <r>
    <s v="00271"/>
    <d v="2026-03-27T00:00:00"/>
    <n v="32"/>
    <s v="Franco"/>
    <s v="Aprobada"/>
    <m/>
    <s v="No"/>
    <m/>
    <m/>
    <x v="0"/>
    <m/>
    <s v="Ventas Retail"/>
    <s v="Comercial"/>
    <s v="Comercial, ventas y cobranzas"/>
    <s v="VENDEDOR/A"/>
    <s v="Serafin"/>
    <m/>
    <x v="3"/>
    <x v="4"/>
    <d v="2026-05-11T00:00:00"/>
    <s v="Baja"/>
    <s v="Media"/>
    <s v="Reemplazo"/>
    <n v="170632"/>
    <s v="GUTCOVSKY, JULIETA"/>
    <s v="Renuncia "/>
    <s v="Inderminado "/>
    <m/>
    <m/>
    <m/>
    <m/>
    <m/>
    <m/>
    <m/>
    <m/>
    <m/>
    <m/>
    <m/>
    <m/>
    <m/>
    <m/>
  </r>
  <r>
    <s v="00272"/>
    <d v="2026-03-31T00:00:00"/>
    <n v="28"/>
    <s v="Franco"/>
    <s v="Aprobada"/>
    <m/>
    <s v="No"/>
    <m/>
    <m/>
    <x v="0"/>
    <m/>
    <s v="Ventas Retail"/>
    <s v="Comercial"/>
    <s v="Comercial, ventas y cobranzas"/>
    <s v="VENDEDOR/A"/>
    <s v="Serafin"/>
    <m/>
    <x v="3"/>
    <x v="4"/>
    <d v="2026-05-11T00:00:00"/>
    <s v="Baja"/>
    <s v="Media"/>
    <s v="Reemplazo"/>
    <n v="1094"/>
    <s v="YAÑES BOGNI, MATIAS VALENTIN"/>
    <s v="Renuncia "/>
    <s v="Inderminado "/>
    <m/>
    <m/>
    <m/>
    <m/>
    <m/>
    <m/>
    <m/>
    <m/>
    <m/>
    <m/>
    <m/>
    <m/>
    <m/>
    <m/>
  </r>
  <r>
    <s v="00273"/>
    <d v="2026-03-16T00:00:00"/>
    <n v="43"/>
    <s v="Franco"/>
    <s v="Aprobada"/>
    <m/>
    <s v="No"/>
    <m/>
    <m/>
    <x v="0"/>
    <m/>
    <s v="Ventas Retail"/>
    <s v="Comercial"/>
    <s v="Comercial, ventas y cobranzas"/>
    <s v="VENDEDOR/A"/>
    <s v="Serafin"/>
    <m/>
    <x v="2"/>
    <x v="10"/>
    <d v="2026-06-01T00:00:00"/>
    <s v="Baja"/>
    <s v="Media"/>
    <s v="Reemplazo"/>
    <n v="1093"/>
    <s v="MENESES MARIN, TANIUSKA ROGERLYS"/>
    <s v="Desvinculación empresa"/>
    <s v="Inderminado "/>
    <m/>
    <m/>
    <m/>
    <m/>
    <m/>
    <m/>
    <m/>
    <m/>
    <m/>
    <m/>
    <m/>
    <m/>
    <m/>
    <m/>
  </r>
  <r>
    <s v="00274"/>
    <d v="2026-03-16T00:00:00"/>
    <n v="43"/>
    <s v="Franco"/>
    <s v="Aprobada"/>
    <m/>
    <s v="No"/>
    <m/>
    <m/>
    <x v="0"/>
    <m/>
    <s v="Ventas Retail"/>
    <s v="Comercial"/>
    <s v="Comercial, ventas y cobranzas"/>
    <s v="VENDEDOR/A"/>
    <s v="Serafin"/>
    <m/>
    <x v="2"/>
    <x v="10"/>
    <d v="2026-06-01T00:00:00"/>
    <s v="Baja"/>
    <s v="Media"/>
    <s v="Reemplazo"/>
    <n v="168680"/>
    <s v="CORREA, CAMILA MARIEL"/>
    <s v="Desvinculación empresa"/>
    <s v="Inderminado "/>
    <m/>
    <m/>
    <m/>
    <m/>
    <m/>
    <m/>
    <m/>
    <m/>
    <m/>
    <m/>
    <m/>
    <m/>
    <m/>
    <m/>
  </r>
  <r>
    <s v="00275"/>
    <d v="2026-03-16T00:00:00"/>
    <n v="43"/>
    <s v="Franco"/>
    <s v="Aprobada"/>
    <m/>
    <s v="No"/>
    <m/>
    <m/>
    <x v="0"/>
    <m/>
    <s v="Ventas Retail"/>
    <s v="Comercial"/>
    <s v="Comercial, ventas y cobranzas"/>
    <s v="VENDEDOR/A"/>
    <s v="Serafin"/>
    <m/>
    <x v="2"/>
    <x v="10"/>
    <d v="2026-06-01T00:00:00"/>
    <s v="Baja"/>
    <s v="Media"/>
    <s v="Reemplazo"/>
    <n v="168697"/>
    <s v="PONCE, MATHEO NICOLAS"/>
    <s v="Desvinculación empresa"/>
    <s v="Inderminado "/>
    <m/>
    <m/>
    <m/>
    <m/>
    <m/>
    <m/>
    <m/>
    <m/>
    <m/>
    <m/>
    <m/>
    <m/>
    <m/>
    <m/>
  </r>
  <r>
    <s v="00276"/>
    <d v="2026-03-30T00:00:00"/>
    <s v="Cerrada"/>
    <s v="Ema"/>
    <s v="Aprobada"/>
    <m/>
    <s v="No"/>
    <s v="No"/>
    <m/>
    <x v="3"/>
    <m/>
    <s v="CLINICA MEDICA"/>
    <s v="INTERNACION"/>
    <s v="Asistencial/Enfermería"/>
    <s v="ENFERMERO/A"/>
    <s v="Noelia Alvez"/>
    <m/>
    <x v="0"/>
    <x v="0"/>
    <m/>
    <s v="Baja"/>
    <s v="Baja"/>
    <s v="Reemplazo"/>
    <n v="168840"/>
    <s v="MAMANI ALAN FRANCO"/>
    <s v="Renuncia "/>
    <s v="Indeterminado "/>
    <m/>
    <m/>
    <s v="14 a 22 hs"/>
    <s v="SANATORIO"/>
    <d v="2026-04-20T00:00:00"/>
    <d v="2026-04-20T00:00:00"/>
    <m/>
    <m/>
    <s v="BENJAMIN VALENCIA"/>
    <s v="Eventual. Se efectiviza el puesto"/>
    <s v="122/75"/>
    <m/>
    <m/>
    <m/>
  </r>
  <r>
    <s v="00277"/>
    <d v="2026-03-30T00:00:00"/>
    <n v="29"/>
    <s v="Ema"/>
    <s v="Aprobada"/>
    <m/>
    <s v="No"/>
    <s v="No"/>
    <m/>
    <x v="3"/>
    <m/>
    <s v="Enfermeria"/>
    <s v="Terapia Intensiva"/>
    <s v="Asistencial/Enfermería"/>
    <s v="Enfermero/a de Terapia Intensiva"/>
    <s v="Noelia Alvez"/>
    <m/>
    <x v="2"/>
    <x v="7"/>
    <d v="2026-05-18T00:00:00"/>
    <s v="Media "/>
    <s v="Baja"/>
    <s v="Reemplazo"/>
    <n v="169737"/>
    <s v="Fisderi Vasquez"/>
    <s v="Desvinculación empresa"/>
    <s v="Indeterminado "/>
    <m/>
    <m/>
    <s v="14 a 22 hs"/>
    <s v="SANATORIO"/>
    <m/>
    <m/>
    <m/>
    <m/>
    <m/>
    <m/>
    <s v="122/75"/>
    <m/>
    <m/>
    <m/>
  </r>
  <r>
    <s v="00278"/>
    <d v="2026-04-01T00:00:00"/>
    <n v="27"/>
    <s v="Ema"/>
    <s v="Aprobada"/>
    <m/>
    <s v="No"/>
    <s v="No"/>
    <m/>
    <x v="3"/>
    <m/>
    <s v="CLINICA MEDICA"/>
    <s v="INTERNACION"/>
    <s v="Asistencial/Médicos"/>
    <s v="MEDICO/A"/>
    <s v="Barone"/>
    <m/>
    <x v="3"/>
    <x v="6"/>
    <d v="2026-05-03T00:00:00"/>
    <s v="Media "/>
    <s v="Baja "/>
    <s v="Reemplazo"/>
    <n v="155642"/>
    <s v="Riera Paredes Cristian"/>
    <s v="Renuncia "/>
    <s v="Inderminado "/>
    <m/>
    <m/>
    <s v="Domingos 8 a 20 hs"/>
    <s v="SANATORIO"/>
    <d v="2026-04-21T00:00:00"/>
    <d v="2026-05-03T00:00:00"/>
    <s v="Externa"/>
    <m/>
    <s v="PRISCILA SANCHEZ "/>
    <s v=" $1.288.893,47 bruto /_x0009_ $1.050.448,18 neto"/>
    <s v="AMAP"/>
    <m/>
    <m/>
    <m/>
  </r>
  <r>
    <s v="00279"/>
    <d v="2026-04-01T00:00:00"/>
    <s v="Cerrada"/>
    <s v="Ema"/>
    <s v="Aprobada"/>
    <m/>
    <s v="No"/>
    <s v="No"/>
    <m/>
    <x v="3"/>
    <m/>
    <s v="CLINICA MEDICA"/>
    <s v="INTERNACION"/>
    <s v="Asistencial/Enfermería"/>
    <s v="ENFERMERO/A"/>
    <s v="Noelia Alvez"/>
    <m/>
    <x v="0"/>
    <x v="0"/>
    <m/>
    <s v="Baja"/>
    <s v="Baja "/>
    <s v="Reemplazo"/>
    <n v="151367"/>
    <s v="ARANIBAR JULLY "/>
    <s v="Movimiento interno"/>
    <s v="Indeterminado "/>
    <m/>
    <m/>
    <s v="6 a 14 hs"/>
    <s v="SANATORIO"/>
    <d v="2026-04-20T00:00:00"/>
    <d v="2026-04-20T00:00:00"/>
    <m/>
    <m/>
    <s v="LUIS BARRIOS"/>
    <s v="Eventual. Se efectiviza el puesto"/>
    <s v="122/75"/>
    <m/>
    <m/>
    <m/>
  </r>
  <r>
    <s v="00280"/>
    <d v="2026-03-17T00:00:00"/>
    <s v="Cerrada"/>
    <s v="Ema"/>
    <s v="Aprobada"/>
    <m/>
    <s v="No"/>
    <s v="No"/>
    <m/>
    <x v="3"/>
    <m/>
    <s v="Enfermeria"/>
    <s v="INTERNACION"/>
    <s v="Asistencial/Enfermería"/>
    <s v="ENFERMERO/A"/>
    <s v="Noelia Alvez"/>
    <m/>
    <x v="0"/>
    <x v="0"/>
    <m/>
    <s v="Baja"/>
    <s v="Baja "/>
    <s v="Reemplazo"/>
    <m/>
    <s v=" CARRASCO ALAN AXEL GABRIEL"/>
    <s v="Renuncia "/>
    <s v="Indeterminado "/>
    <m/>
    <m/>
    <s v="14 A 22 HS"/>
    <s v="SANATORIO"/>
    <d v="2026-04-20T00:00:00"/>
    <d v="2026-04-20T00:00:00"/>
    <m/>
    <m/>
    <s v="ISABEL MAMANI"/>
    <s v="Eventual. Se efectiviza el puesto"/>
    <s v="122/75"/>
    <m/>
    <m/>
    <m/>
  </r>
  <r>
    <s v="00281"/>
    <d v="2026-04-07T00:00:00"/>
    <n v="21"/>
    <s v="Jose"/>
    <s v="Aprobada"/>
    <m/>
    <s v="No"/>
    <s v="No"/>
    <m/>
    <x v="3"/>
    <m/>
    <s v="BIOINGENIERIA"/>
    <s v="Bioingenieria"/>
    <s v="Asistencial/Otros"/>
    <s v="TECNICO/A"/>
    <s v="Javier Luder"/>
    <m/>
    <x v="3"/>
    <x v="4"/>
    <d v="2026-05-11T00:00:00"/>
    <s v="Media "/>
    <s v="Alta "/>
    <s v="Reemplazo"/>
    <m/>
    <s v="BORDON FRANCO"/>
    <s v="Renuncia "/>
    <s v="Inderminado "/>
    <m/>
    <m/>
    <m/>
    <m/>
    <m/>
    <m/>
    <m/>
    <m/>
    <m/>
    <m/>
    <s v="FUCO"/>
    <m/>
    <m/>
    <m/>
  </r>
  <r>
    <s v="00282"/>
    <d v="2026-04-07T00:00:00"/>
    <n v="21"/>
    <s v="Ema"/>
    <s v="Aprobada"/>
    <m/>
    <s v="No"/>
    <s v="No"/>
    <m/>
    <x v="3"/>
    <m/>
    <s v="Enfermeria"/>
    <s v="INTERNACION"/>
    <s v="Asistencial/Enfermería"/>
    <s v="ENFERMERO/A"/>
    <s v="Noelia Alvez"/>
    <m/>
    <x v="3"/>
    <x v="6"/>
    <d v="2026-05-04T00:00:00"/>
    <s v="Baja"/>
    <s v="Baja "/>
    <s v="Reemplazo"/>
    <m/>
    <s v="MAMANI MARIA ROSA"/>
    <s v="Renuncia "/>
    <s v="Inderminado "/>
    <m/>
    <m/>
    <s v="14 a 22 HS"/>
    <s v="SANATORIO"/>
    <d v="2026-04-21T00:00:00"/>
    <d v="2026-05-04T00:00:00"/>
    <s v="Externa"/>
    <m/>
    <s v="Evelyn Condori"/>
    <s v=" $1.303.213,92 bruto /_x0009_ $1.093.671,00 neto"/>
    <s v="122/75"/>
    <m/>
    <m/>
    <m/>
  </r>
  <r>
    <s v="00283"/>
    <d v="2026-04-13T00:00:00"/>
    <s v="Cerrada"/>
    <s v="Franco"/>
    <s v="Aprobada"/>
    <m/>
    <m/>
    <m/>
    <m/>
    <x v="4"/>
    <s v="Healthnes SA"/>
    <s v="CONTACT CENTER"/>
    <s v="Operaciones"/>
    <s v="Administrativo/a"/>
    <s v="Operador call center"/>
    <s v="Zukoski"/>
    <m/>
    <x v="0"/>
    <x v="0"/>
    <d v="2026-04-21T00:00:00"/>
    <s v="Baja"/>
    <s v="Alta "/>
    <s v="Reemplazo"/>
    <n v="160471"/>
    <s v="Florencia Tirado Laurente"/>
    <s v="Movimiento interno"/>
    <s v="Indeterminado "/>
    <m/>
    <m/>
    <s v="lunes a jueves de 8 a 18 y viernes de 10 a 18hs"/>
    <s v="CONTACT CENTER"/>
    <d v="2026-04-07T00:00:00"/>
    <d v="2026-04-20T00:00:00"/>
    <m/>
    <m/>
    <s v="Selene Acuña"/>
    <s v="$ 1.265.500 bruto / $ 1.032.000 neto "/>
    <s v="130/75"/>
    <m/>
    <m/>
    <m/>
  </r>
  <r>
    <s v="00284"/>
    <d v="2026-04-10T00:00:00"/>
    <n v="18"/>
    <s v="Franco"/>
    <s v="Aprobada"/>
    <m/>
    <m/>
    <m/>
    <m/>
    <x v="3"/>
    <s v="Desarrollos en salud"/>
    <s v="Obras"/>
    <s v="Servicios de Apoyo"/>
    <s v="Mantenimiento y obras"/>
    <s v="Albañil"/>
    <s v="Tejedor"/>
    <m/>
    <x v="2"/>
    <x v="7"/>
    <d v="2026-05-11T00:00:00"/>
    <s v="Baja"/>
    <s v="Alta "/>
    <s v="Reemplazo"/>
    <m/>
    <s v="Para completar dotación"/>
    <s v="Renuncia "/>
    <s v="Inderminado "/>
    <m/>
    <m/>
    <s v="Lunes a viernes de 8 a 17hs"/>
    <s v="SANATORIO"/>
    <m/>
    <m/>
    <m/>
    <m/>
    <m/>
    <m/>
    <m/>
    <m/>
    <m/>
    <m/>
  </r>
  <r>
    <s v="00285"/>
    <d v="2026-04-13T00:00:00"/>
    <n v="15"/>
    <s v="Franco"/>
    <s v="Aprobada"/>
    <m/>
    <s v="Si"/>
    <s v="Si"/>
    <m/>
    <x v="0"/>
    <s v="Cobensil SA"/>
    <s v="VENTAS CORPORATIVAS"/>
    <s v="Comercial"/>
    <s v="Comercial, ventas y cobranzas"/>
    <s v="VENDEDOR/A"/>
    <s v="Juan Francisco Mandingorra"/>
    <m/>
    <x v="2"/>
    <x v="2"/>
    <d v="2026-05-11T00:00:00"/>
    <s v="Media "/>
    <s v="Alta "/>
    <s v="Reemplazo"/>
    <n v="164312"/>
    <s v="MARIA LUJAN BARRIENTOS"/>
    <s v="Desvinculación empresa"/>
    <s v="Inderminado "/>
    <m/>
    <m/>
    <s v="10 a 18 hs"/>
    <s v="Perón 1479 CABA"/>
    <m/>
    <m/>
    <m/>
    <m/>
    <m/>
    <m/>
    <m/>
    <m/>
    <m/>
    <m/>
  </r>
  <r>
    <s v="00286"/>
    <d v="2026-04-13T00:00:00"/>
    <n v="15"/>
    <s v="Franco"/>
    <s v="Aprobada"/>
    <m/>
    <s v="Si"/>
    <s v="Si"/>
    <m/>
    <x v="0"/>
    <s v="Cobensil SA"/>
    <s v="VENTAS CORPORATIVAS"/>
    <s v="Comercial"/>
    <s v="Comercial, ventas y cobranzas"/>
    <s v="VENDEDOR/A"/>
    <s v="Juan Francisco Mandingorra"/>
    <m/>
    <x v="2"/>
    <x v="2"/>
    <d v="2026-05-11T00:00:00"/>
    <s v="Media "/>
    <s v="Alta "/>
    <s v="Reemplazo"/>
    <n v="163654"/>
    <s v="KARINA SAYAL"/>
    <s v="Desvinculación empresa"/>
    <s v="Inderminado "/>
    <m/>
    <m/>
    <s v="10 a 18 hs"/>
    <s v="Perón 1479 CABA"/>
    <m/>
    <m/>
    <m/>
    <m/>
    <m/>
    <m/>
    <m/>
    <m/>
    <m/>
    <m/>
  </r>
  <r>
    <s v="00287"/>
    <d v="2026-04-06T00:00:00"/>
    <n v="22"/>
    <s v="Franco"/>
    <s v="Aprobada"/>
    <m/>
    <s v="No"/>
    <s v="No"/>
    <m/>
    <x v="0"/>
    <m/>
    <s v="Ventas Retail"/>
    <s v="Comercial"/>
    <s v="Comercial, ventas y cobranzas"/>
    <s v="VENDEDOR/A"/>
    <s v="Serafin"/>
    <m/>
    <x v="2"/>
    <x v="10"/>
    <d v="2026-06-01T00:00:00"/>
    <s v="Baja"/>
    <s v="Media"/>
    <s v="Reemplazo"/>
    <n v="1095"/>
    <s v="CARVAJAL PERALTA, PERLA LILIBETH"/>
    <s v="Renuncia "/>
    <s v="Inderminado "/>
    <m/>
    <m/>
    <m/>
    <m/>
    <m/>
    <m/>
    <m/>
    <m/>
    <m/>
    <m/>
    <m/>
    <m/>
    <m/>
    <m/>
  </r>
  <r>
    <s v="00288"/>
    <d v="2026-04-10T00:00:00"/>
    <n v="18"/>
    <s v="Franco"/>
    <s v="Aprobada"/>
    <m/>
    <s v="No"/>
    <s v="No"/>
    <m/>
    <x v="0"/>
    <m/>
    <s v="Ventas Retail"/>
    <s v="Comercial"/>
    <s v="Comercial, ventas y cobranzas"/>
    <s v="VENDEDOR/A"/>
    <s v="Serafin"/>
    <m/>
    <x v="2"/>
    <x v="10"/>
    <d v="2026-06-01T00:00:00"/>
    <s v="Baja"/>
    <s v="Media"/>
    <s v="Reemplazo"/>
    <n v="1097"/>
    <s v="ARROYO, ALEJANDRO LEONARDO"/>
    <s v="Renuncia "/>
    <s v="Inderminado "/>
    <m/>
    <m/>
    <m/>
    <m/>
    <m/>
    <m/>
    <m/>
    <m/>
    <m/>
    <m/>
    <m/>
    <m/>
    <m/>
    <m/>
  </r>
  <r>
    <s v="00289"/>
    <d v="2026-04-08T00:00:00"/>
    <n v="20"/>
    <s v="Franco"/>
    <s v="Aprobada"/>
    <m/>
    <s v="No"/>
    <s v="No"/>
    <m/>
    <x v="0"/>
    <m/>
    <s v="Ventas Retail"/>
    <s v="Comercial"/>
    <s v="Comercial, ventas y cobranzas"/>
    <s v="VENDEDOR/A"/>
    <s v="Serafin"/>
    <m/>
    <x v="2"/>
    <x v="10"/>
    <d v="2026-06-01T00:00:00"/>
    <s v="Baja"/>
    <s v="Media"/>
    <s v="Reemplazo"/>
    <n v="170021"/>
    <s v="BANEGAS NEMBHARD, MARYANA ALEXANDRA"/>
    <s v="Renuncia "/>
    <s v="Inderminado "/>
    <m/>
    <m/>
    <m/>
    <m/>
    <m/>
    <m/>
    <m/>
    <m/>
    <m/>
    <m/>
    <m/>
    <m/>
    <m/>
    <m/>
  </r>
  <r>
    <s v="00290"/>
    <d v="2026-04-14T00:00:00"/>
    <n v="14"/>
    <s v="Jose"/>
    <s v="Aprobada"/>
    <m/>
    <s v="No"/>
    <s v="No"/>
    <m/>
    <x v="3"/>
    <m/>
    <s v="SOPORTE TECNICO"/>
    <s v="ADMINISTRACION Y FINANZAS"/>
    <s v="Analista IT"/>
    <s v="COORDINADOR/A"/>
    <s v="Sebastian Gatica"/>
    <m/>
    <x v="2"/>
    <x v="2"/>
    <d v="2026-06-15T00:00:00"/>
    <s v="Media "/>
    <s v="Media"/>
    <s v="Reemplazo"/>
    <n v="155031"/>
    <s v="PAUL ALEXANDER MOSS"/>
    <s v="Renuncia "/>
    <s v="Inderminado "/>
    <m/>
    <m/>
    <s v="Luneas a Viernes de 8 a 17 hs"/>
    <m/>
    <m/>
    <m/>
    <m/>
    <m/>
    <m/>
    <m/>
    <m/>
    <m/>
    <m/>
    <m/>
  </r>
  <r>
    <s v="00291"/>
    <d v="2026-04-14T00:00:00"/>
    <n v="14"/>
    <s v="Ema"/>
    <s v="Aprobada"/>
    <m/>
    <s v="No"/>
    <s v="No"/>
    <m/>
    <x v="5"/>
    <m/>
    <s v="FARMACIA"/>
    <m/>
    <s v="Asistencial/Otros"/>
    <s v="DIRECTOR/A TECNICO/A DE FARMACIA"/>
    <s v="Claudia Alí"/>
    <m/>
    <x v="2"/>
    <x v="12"/>
    <d v="2026-05-18T00:00:00"/>
    <s v="Media "/>
    <s v="Alta "/>
    <s v="Apertura de puesto"/>
    <m/>
    <m/>
    <s v="Nuevo proyecto "/>
    <s v="Indeterminado "/>
    <m/>
    <m/>
    <m/>
    <s v="CMV"/>
    <m/>
    <m/>
    <m/>
    <m/>
    <m/>
    <m/>
    <m/>
    <m/>
    <m/>
    <m/>
  </r>
  <r>
    <s v="00292"/>
    <d v="2026-04-14T00:00:00"/>
    <n v="14"/>
    <s v="Juanpi"/>
    <s v="Aprobada"/>
    <m/>
    <s v="Si"/>
    <s v="Si"/>
    <m/>
    <x v="7"/>
    <s v="Farmacia Nobel SA"/>
    <s v="ADMINISTRACION"/>
    <s v="ADMINISTRACION Y FINANZAS"/>
    <s v="Administrativo/a"/>
    <s v="ADMINISTRATIVO/A"/>
    <s v="Emilio Zalis"/>
    <m/>
    <x v="2"/>
    <x v="10"/>
    <d v="2026-05-18T00:00:00"/>
    <s v="Media "/>
    <s v="Alta "/>
    <s v="Reemplazo"/>
    <m/>
    <s v="Confidencial"/>
    <s v="Desvinculación empresa"/>
    <s v="Indeterminado "/>
    <m/>
    <m/>
    <s v="Lunes a Viernes de 9 a 18 hs "/>
    <m/>
    <m/>
    <m/>
    <m/>
    <m/>
    <m/>
    <m/>
    <m/>
    <m/>
    <m/>
    <m/>
  </r>
  <r>
    <s v="00293"/>
    <d v="2026-04-17T00:00:00"/>
    <n v="11"/>
    <s v="Ema"/>
    <s v="Aprobada"/>
    <m/>
    <s v="No"/>
    <s v="Si"/>
    <d v="2026-05-18T00:00:00"/>
    <x v="3"/>
    <m/>
    <s v="TERAPISTAS INTENSIVOS"/>
    <s v="Terapia Intensiva"/>
    <s v="Asistencial/Médicos"/>
    <s v="MEDICO/A"/>
    <s v="Salcedo"/>
    <m/>
    <x v="3"/>
    <x v="6"/>
    <d v="2026-05-04T00:00:00"/>
    <s v="Media "/>
    <s v="Media"/>
    <s v="Reemplazo"/>
    <n v="164831"/>
    <s v="PADILLA GUILLOTH, MARIA JOSE"/>
    <s v="Renuncia "/>
    <s v="Indeterminado "/>
    <m/>
    <m/>
    <s v="LUNES 8 A 8 HS"/>
    <s v="SANATORIO"/>
    <d v="2026-04-15T00:00:00"/>
    <d v="2026-05-04T00:00:00"/>
    <m/>
    <m/>
    <s v="Agustin Aller"/>
    <s v=" $ 2.555.900 bruto / $ 2.083.000 neto"/>
    <s v="AMAP"/>
    <s v="No"/>
    <s v="No"/>
    <m/>
  </r>
  <r>
    <s v="00294"/>
    <d v="2026-04-17T00:00:00"/>
    <n v="11"/>
    <s v="Ema"/>
    <s v="Aprobada"/>
    <m/>
    <s v="No"/>
    <s v="No"/>
    <m/>
    <x v="3"/>
    <s v="CIRENDSA"/>
    <s v="Enfermeria"/>
    <s v="INTERNACION"/>
    <s v="Asistencial/Enfermería"/>
    <s v="ENFERMERO/A"/>
    <s v="Noelia Alvez"/>
    <m/>
    <x v="3"/>
    <x v="6"/>
    <d v="2026-05-04T00:00:00"/>
    <s v="Baja"/>
    <s v="Baja"/>
    <s v="Reemplazo"/>
    <n v="170953"/>
    <s v="AYALA, VIRGINIA ISABEL"/>
    <s v="Renuncia "/>
    <s v="Indeterminado "/>
    <m/>
    <m/>
    <s v="14 a 22 HS"/>
    <s v="SANATORIO"/>
    <d v="2026-04-27T00:00:00"/>
    <d v="2026-05-04T00:00:00"/>
    <s v="Interna"/>
    <m/>
    <s v="VERONICA BALERIO CALDERON"/>
    <s v="Pase interno TM"/>
    <s v="122/75"/>
    <m/>
    <m/>
    <m/>
  </r>
  <r>
    <s v="00295"/>
    <d v="2026-04-17T00:00:00"/>
    <n v="11"/>
    <s v="Ema"/>
    <s v="Aprobada"/>
    <m/>
    <s v="No"/>
    <s v="Si"/>
    <d v="2026-04-19T00:00:00"/>
    <x v="3"/>
    <s v="CIRENDSA"/>
    <s v="Enfermeria"/>
    <s v="Terapia Intensiva"/>
    <s v="Asistencial/Enfermería"/>
    <s v="Enfermero/a de Terapia Intensiva"/>
    <s v="Alvez"/>
    <m/>
    <x v="2"/>
    <x v="10"/>
    <d v="2026-06-01T00:00:00"/>
    <s v="Media "/>
    <s v="Media"/>
    <s v="Reemplazo"/>
    <n v="136346"/>
    <s v="ZAMUDIO VEDIA, MIGUEL OSVALDO"/>
    <s v="Renuncia "/>
    <s v="Indeterminado "/>
    <m/>
    <m/>
    <s v="14 a 22 HS"/>
    <s v="SANATORIO"/>
    <m/>
    <m/>
    <m/>
    <m/>
    <m/>
    <m/>
    <s v="122/75"/>
    <m/>
    <m/>
    <m/>
  </r>
  <r>
    <s v="00296"/>
    <d v="2026-04-16T00:00:00"/>
    <s v="Cerrada"/>
    <s v="Ema"/>
    <s v="Aprobada"/>
    <m/>
    <s v="No"/>
    <s v="No"/>
    <m/>
    <x v="3"/>
    <m/>
    <s v="Enfermeria"/>
    <s v="INTERNACION"/>
    <s v="Asistencial/Enfermería"/>
    <s v="ENFERMERO/A"/>
    <s v="Alvez"/>
    <m/>
    <x v="0"/>
    <x v="0"/>
    <m/>
    <s v="Baja"/>
    <s v="Baja"/>
    <s v="Reemplazo"/>
    <n v="148961"/>
    <s v="CARLA PLACEREANO"/>
    <s v="Renuncia "/>
    <s v="Indeterminado "/>
    <m/>
    <m/>
    <s v="6 a 14 hs"/>
    <s v="SANATORIO"/>
    <d v="2026-04-27T00:00:00"/>
    <d v="2026-04-27T00:00:00"/>
    <m/>
    <m/>
    <s v="Cinthia Lopez"/>
    <s v="Eventual. Se efectiviza el puesto"/>
    <s v="122/75"/>
    <m/>
    <m/>
    <m/>
  </r>
  <r>
    <s v="00297"/>
    <d v="2026-04-17T00:00:00"/>
    <n v="11"/>
    <s v="Ema"/>
    <s v="Aprobada"/>
    <m/>
    <m/>
    <m/>
    <m/>
    <x v="3"/>
    <s v="Laboratorio Internacional SA"/>
    <s v="LABORATORIO"/>
    <s v="Laboratorio"/>
    <s v="Asistencial/Otros"/>
    <s v="Tecnico/a de Laboratorio"/>
    <s v="Benitez Elias"/>
    <m/>
    <x v="2"/>
    <x v="10"/>
    <d v="2026-05-18T00:00:00"/>
    <s v="Media "/>
    <s v="Alta "/>
    <s v="Reemplazo"/>
    <n v="5"/>
    <s v="Passagio "/>
    <s v="Renuncia "/>
    <s v="Indeterminado "/>
    <m/>
    <m/>
    <s v="Turno mañana Lunes a viernes  6 - 14 hs - Guardia Domingo 14 a 22hs"/>
    <s v="SANATORIO"/>
    <m/>
    <m/>
    <m/>
    <m/>
    <m/>
    <m/>
    <n v="108"/>
    <m/>
    <m/>
    <m/>
  </r>
  <r>
    <s v="00298"/>
    <d v="2026-04-16T00:00:00"/>
    <n v="12"/>
    <s v="Franco"/>
    <s v="Aprobada"/>
    <m/>
    <s v="Si"/>
    <s v="Si"/>
    <m/>
    <x v="7"/>
    <s v="Farmacia Nobel SA"/>
    <s v="FARMACIA"/>
    <s v="FARMACIA LAMAITE"/>
    <s v="Administrativo/a"/>
    <s v="EMPLEADO/A DE MOSTRADOR"/>
    <s v="Sergio Bernigaud"/>
    <m/>
    <x v="2"/>
    <x v="11"/>
    <d v="2026-05-11T00:00:00"/>
    <s v="Baja"/>
    <s v="Alta "/>
    <s v="Reemplazo"/>
    <n v="148312"/>
    <s v="VESTILLEIRO, RUBEN ADRIAN"/>
    <s v="Futura desvinculación"/>
    <s v="Indeterminado "/>
    <s v="El puesto es critico para garantizar la dotación mínima_x000a_requerida en la farmacia. Actualmente, la operación de_x000a_los domingos depende de este rol. Su ausencia_x000a_desarticularía el esquema de atención al público,_x000a_comprometiendo la calidad del servicio._x000a_"/>
    <s v="Habría sobrecarga en el resto del personal, lo que_x000a_generaría riesgo de errores en la dispensación por_x000a_agotamiento físico y mental del equipo actual."/>
    <s v="Lunes a Viernes de 16 a 22hs y Domingos de 9 a 21hs"/>
    <s v="Conde 815"/>
    <m/>
    <m/>
    <m/>
    <m/>
    <m/>
    <m/>
    <n v="414"/>
    <m/>
    <m/>
    <m/>
  </r>
  <r>
    <s v="00299"/>
    <d v="2026-04-17T00:00:00"/>
    <n v="11"/>
    <s v="Jose"/>
    <s v="Aprobada"/>
    <s v="No"/>
    <s v="Si"/>
    <s v="Si"/>
    <m/>
    <x v="3"/>
    <s v="Desarrollos en Salud SA"/>
    <s v="Comercial"/>
    <s v="ADMINISTRACION Y FINANZAS"/>
    <s v="Liderazgo"/>
    <s v="JEFE/A"/>
    <s v="Alejandro Poeta"/>
    <m/>
    <x v="2"/>
    <x v="11"/>
    <d v="2026-06-15T00:00:00"/>
    <s v="Media "/>
    <s v="Alta "/>
    <s v="Reemplazo"/>
    <m/>
    <m/>
    <s v="Futura desvinculación"/>
    <s v="Indeterminado "/>
    <m/>
    <m/>
    <m/>
    <m/>
    <m/>
    <m/>
    <m/>
    <m/>
    <m/>
    <m/>
    <s v="FUCO"/>
    <m/>
    <m/>
    <m/>
  </r>
  <r>
    <s v="00300"/>
    <d v="2026-04-17T00:00:00"/>
    <s v="Cerrada"/>
    <s v="Ema"/>
    <s v="Cancelada"/>
    <s v="No"/>
    <s v="Si"/>
    <s v="Si"/>
    <m/>
    <x v="5"/>
    <s v="Centrol Médico Vilella SA"/>
    <s v="BUSINESS MANAGER"/>
    <s v="Administracion"/>
    <s v="Liderazgo"/>
    <s v="JEFE/A"/>
    <s v="Claudia Alí"/>
    <m/>
    <x v="4"/>
    <x v="5"/>
    <m/>
    <m/>
    <m/>
    <s v="Reemplazo"/>
    <m/>
    <m/>
    <s v="Futura desvinculación"/>
    <s v="Indeterminado "/>
    <m/>
    <m/>
    <m/>
    <m/>
    <m/>
    <m/>
    <m/>
    <m/>
    <m/>
    <m/>
    <s v="FUCO"/>
    <m/>
    <m/>
    <m/>
  </r>
  <r>
    <s v="00301"/>
    <d v="2026-04-17T00:00:00"/>
    <n v="11"/>
    <s v="Ema"/>
    <s v="Aprobada"/>
    <s v="No"/>
    <s v="No"/>
    <s v="No"/>
    <m/>
    <x v="3"/>
    <s v="Desarrollos en Salud SA"/>
    <s v="HOTELERIA"/>
    <s v="INTERNACION"/>
    <s v="Servicios Generales"/>
    <s v="MUCAMO/A"/>
    <s v="Dodero"/>
    <m/>
    <x v="2"/>
    <x v="2"/>
    <d v="2026-06-01T00:00:00"/>
    <s v="Baja"/>
    <s v="Baja "/>
    <s v="Reemplazo"/>
    <n v="110995"/>
    <s v="Acuña Gabriela"/>
    <s v="Licencia "/>
    <s v="Plazo Fijo"/>
    <s v="Licencia Psiq"/>
    <m/>
    <s v="14 a 22 hs"/>
    <s v="SANATORIO"/>
    <m/>
    <m/>
    <m/>
    <m/>
    <m/>
    <m/>
    <s v="122/75"/>
    <m/>
    <m/>
    <m/>
  </r>
  <r>
    <s v="00302"/>
    <d v="2026-04-10T00:00:00"/>
    <n v="18"/>
    <s v="Franco"/>
    <s v="Aprobada"/>
    <s v="No"/>
    <m/>
    <m/>
    <m/>
    <x v="9"/>
    <m/>
    <m/>
    <m/>
    <s v="Servicios Generales"/>
    <s v="OFICIAL DE MANTENIMIENTO"/>
    <s v="Jennifer Mijares"/>
    <m/>
    <x v="2"/>
    <x v="2"/>
    <d v="2026-05-11T00:00:00"/>
    <s v="Baja"/>
    <s v="Alta "/>
    <s v="Apertura de puesto"/>
    <m/>
    <m/>
    <s v="Crecimiento del área"/>
    <s v="Indeterminado "/>
    <s v="El ingreso de esta oficial resulta crítico para pasar de_x000a_gestionar la crisis a dar respuestas con eficiencia_x000a_operativa, ya que actualmente la dispersión geográfica_x000a_y la cantidad de activos (20 edificios para solo 3_x000a_oficiales) anulan la capacidad de realizar_x000a_mantenimiento preventivo real. Esta incorporación_x000a_ayudaría a reducir el agotamiento del personal y_x000a_representa un ahorro directo al reducir reparaciones de_x000a_emergencia costosas, proteger el valor de los_x000a_inmuebles y garantizar que la infraestructura no afecte_x000a_la productividad de los 660 colaboradores que allí_x000a_laboran._x000a_"/>
    <s v="El retardo o falta de ejecución de los trabajos de falta_x000a_de mantenimiento preventivo provocaría fallas_x000a_inevitables cuyo costo de reparación sería_x000a_significativamente alto. El impacto directo sería la_x000a_degradación de la infraestructura y el aumento de los_x000a_tiempos de inactividad de las sedes, lo que_x000a_compromete la seguridad y la productividad de los_x000a_colaboradores y de los médicos, pacientes y socios que_x000a_también acuden a las instalaciones, mientras que el_x000a_agotamiento del equipo actual podría generar una_x000a_rotación de personal por fatiga, dejando a los 20_x000a_edificios en un estado de vulnerabilidad en al área de_x000a_mantenimiento._x000a_"/>
    <s v="Martes a Viernes de 9:00 a 18:00 y Sábados de 8:00 a_x000a_14:00"/>
    <s v="Sede Amenabar 1074, trabajo rotativo diferentes Sedes_x000a_del Grupo_x000a_"/>
    <m/>
    <m/>
    <m/>
    <m/>
    <m/>
    <m/>
    <m/>
    <m/>
    <m/>
    <s v="La aprobación de esta vacante corresponde al cambio de rol de la vacante de Jefe de Mantenimiento la cual pasa a estado CANCELADO"/>
  </r>
  <r>
    <s v="00303"/>
    <d v="2026-04-20T00:00:00"/>
    <n v="8"/>
    <s v="Franco"/>
    <s v="Pendiente"/>
    <m/>
    <m/>
    <m/>
    <m/>
    <x v="3"/>
    <s v="Desarrollos en Salud SA"/>
    <s v="Comercial"/>
    <s v="Administración y Finanzas"/>
    <s v="Administrativo/a"/>
    <s v="Analista de convenios"/>
    <s v="Alejandro Poeta"/>
    <m/>
    <x v="2"/>
    <x v="11"/>
    <d v="2026-05-18T00:00:00"/>
    <s v="Media "/>
    <s v="Alta "/>
    <s v="Reemplazo"/>
    <s v="157266_x0009_"/>
    <s v="MILANESIO DE OLASO, MARIA PAULA"/>
    <s v="Renuncia "/>
    <s v="Indeterminado "/>
    <s v="El area de análisis de convenios da soporte a las_x000a_actividades comerciales de Sanatorio Colegiales y_x000a_Centres Ambulatorios. El sector estaba sobrecargado_x000a_de trabajo con una sola persona (María Paula), razón_x000a_por la cual avanzamos en la contratación de Pedro_x000a_Goicoechea, quien ingresó a la empresa hace dos_x000a_semanas."/>
    <s v="Voveremos a estar limitados en el nivel de respuesta,_x000a_como sucedía cuando María Paula estaba sola, con el_x000a_agravante de que Pedro no tiene todavía la experiencia_x000a_suficiente para poder dar el mismo desempeño que_x000a_Paula._x000a_"/>
    <s v="Lunes a Viernes 9 a 18 hs"/>
    <s v="La Musa"/>
    <m/>
    <m/>
    <m/>
    <m/>
    <m/>
    <m/>
    <m/>
    <m/>
    <m/>
    <m/>
  </r>
  <r>
    <s v="00304"/>
    <d v="2026-04-16T00:00:00"/>
    <n v="12"/>
    <s v="Ema"/>
    <s v="Aprobada"/>
    <m/>
    <s v="No"/>
    <s v="No"/>
    <m/>
    <x v="3"/>
    <s v="Desarrollos en Salud SA"/>
    <s v="TRAUMATOLOGIA"/>
    <s v="Guardia"/>
    <s v="Asistencial/Médicos"/>
    <s v="MEDICO/A"/>
    <s v="FAIMAN"/>
    <m/>
    <x v="2"/>
    <x v="2"/>
    <d v="2026-05-18T00:00:00"/>
    <s v="Media "/>
    <s v="Media"/>
    <s v="Reemplazo"/>
    <n v="165704"/>
    <s v="ALBA MOLINA JUAN CARLOS"/>
    <s v="Renuncia "/>
    <s v="Indeterminado "/>
    <m/>
    <m/>
    <s v="LUNES 8 A 20 HS"/>
    <s v="SANATORIO"/>
    <m/>
    <m/>
    <m/>
    <m/>
    <m/>
    <m/>
    <s v="AMAP"/>
    <m/>
    <m/>
    <m/>
  </r>
  <r>
    <s v="00305"/>
    <d v="2026-04-16T00:00:00"/>
    <n v="12"/>
    <s v="Ema"/>
    <s v="Aprobada"/>
    <m/>
    <s v="No"/>
    <s v="No"/>
    <m/>
    <x v="3"/>
    <s v="Desarrollos en Salud SA"/>
    <s v="HOTELERIA"/>
    <s v="INTERNACION"/>
    <s v="Servicios Generales"/>
    <s v="MUCAMO/A"/>
    <s v="Dodero"/>
    <m/>
    <x v="3"/>
    <x v="4"/>
    <d v="2026-05-18T00:00:00"/>
    <s v="Baja"/>
    <s v="Alta "/>
    <s v="Reemplazo"/>
    <n v="147723"/>
    <s v="LEDESMA DANIELA"/>
    <s v="Renuncia "/>
    <s v="Indeterminado "/>
    <m/>
    <m/>
    <s v="14 A 22 HS"/>
    <s v="SANATORIO"/>
    <m/>
    <m/>
    <m/>
    <m/>
    <m/>
    <m/>
    <s v="122/75"/>
    <m/>
    <m/>
    <m/>
  </r>
  <r>
    <s v="00306"/>
    <d v="2026-04-15T00:00:00"/>
    <n v="13"/>
    <s v="Ema"/>
    <s v="Aprobada"/>
    <m/>
    <s v="No"/>
    <s v="No"/>
    <m/>
    <x v="3"/>
    <s v="Desarrollos en Salud SA"/>
    <s v="SERVICIO DE ALIMENTACION"/>
    <s v="Servicios de Apoyo"/>
    <s v="Servicios Generales"/>
    <s v="PEON"/>
    <s v="CORDOBA"/>
    <m/>
    <x v="2"/>
    <x v="2"/>
    <d v="2026-05-18T00:00:00"/>
    <s v="Baja"/>
    <s v="Media"/>
    <s v="Reemplazo"/>
    <n v="82424"/>
    <s v="CARDOZO OSCAR"/>
    <s v="Desvinculación empresa"/>
    <s v="Indeterminado "/>
    <m/>
    <m/>
    <m/>
    <s v="SANATORIO"/>
    <m/>
    <m/>
    <m/>
    <m/>
    <m/>
    <m/>
    <s v="122/75"/>
    <m/>
    <m/>
    <m/>
  </r>
  <r>
    <s v="00307"/>
    <d v="2026-04-01T00:00:00"/>
    <s v="Cerrada"/>
    <s v="Ema"/>
    <s v="Aprobada"/>
    <m/>
    <s v="No"/>
    <s v="Si"/>
    <d v="2026-05-04T00:00:00"/>
    <x v="3"/>
    <s v="Desarrollos en Salud SA"/>
    <s v="CIRUGIA"/>
    <s v="Quirofano"/>
    <s v="Asistencial/Otros"/>
    <s v="INSTRUMENTADOR/A"/>
    <s v="Di Franco"/>
    <m/>
    <x v="0"/>
    <x v="0"/>
    <d v="2026-04-27T00:00:00"/>
    <m/>
    <m/>
    <s v="Reemplazo"/>
    <n v="167656"/>
    <s v="SALAZAR PEREZ, ROSNELSI ELIANNY"/>
    <s v="Desvinculación empresa"/>
    <s v="Indeterminado "/>
    <m/>
    <m/>
    <s v="Lunes a Sábados 15 a 23 hs. Feriado rotativo"/>
    <s v="SANATORIO"/>
    <d v="2026-04-22T00:00:00"/>
    <m/>
    <m/>
    <m/>
    <s v="Dolores Vargas"/>
    <s v="Eventual. Se efectiviza el puesto"/>
    <s v="122/75"/>
    <m/>
    <m/>
    <m/>
  </r>
  <r>
    <s v="00308"/>
    <d v="2026-04-01T00:00:00"/>
    <s v="Cerrada"/>
    <s v="Ema"/>
    <s v="Aprobada"/>
    <m/>
    <s v="No"/>
    <s v="No"/>
    <m/>
    <x v="3"/>
    <s v="Desarrollos en Salud SA"/>
    <s v="HOTELERIA"/>
    <s v="INTERNACION"/>
    <s v="Servicios Generales"/>
    <s v="MUCAMO/A"/>
    <s v="Dodero"/>
    <m/>
    <x v="0"/>
    <x v="0"/>
    <d v="2026-04-27T00:00:00"/>
    <m/>
    <m/>
    <s v="Reemplazo"/>
    <n v="97871"/>
    <s v="PEÑA NOELIA (Delegada)"/>
    <s v="Licencia "/>
    <s v="Indeterminado "/>
    <m/>
    <m/>
    <s v="14 a 22 hs"/>
    <s v="SANATORIO"/>
    <d v="2026-04-27T00:00:00"/>
    <d v="2026-04-27T00:00:00"/>
    <m/>
    <m/>
    <s v="Romina Sarmiento"/>
    <s v="Eventual. Se efectiviza el puesto"/>
    <s v="122/75"/>
    <m/>
    <m/>
    <m/>
  </r>
  <r>
    <s v="00309"/>
    <d v="2026-04-20T00:00:00"/>
    <n v="8"/>
    <s v="Ema"/>
    <s v="Aprobada"/>
    <m/>
    <s v="No"/>
    <s v="No"/>
    <m/>
    <x v="3"/>
    <s v="Desarrollos en Salud SA"/>
    <s v="HOTELERIA"/>
    <s v="INTERNACION"/>
    <s v="Servicios Generales"/>
    <s v="MUCAMO/A"/>
    <s v="Dodero"/>
    <m/>
    <x v="2"/>
    <x v="2"/>
    <d v="2026-05-18T00:00:00"/>
    <s v="Baja"/>
    <s v="Media"/>
    <s v="Reemplazo"/>
    <n v="127973"/>
    <s v="BENITEZ, NOELIA NOEMI"/>
    <s v="Licencia "/>
    <s v="Plazo Fijo"/>
    <s v="Licencia Psiq"/>
    <m/>
    <s v="14 a 22 hs"/>
    <s v="SANATORIO"/>
    <m/>
    <m/>
    <m/>
    <m/>
    <m/>
    <m/>
    <m/>
    <m/>
    <m/>
    <m/>
  </r>
  <r>
    <s v="00310"/>
    <d v="2026-04-06T00:00:00"/>
    <n v="22"/>
    <s v="Ema"/>
    <s v="Aprobada"/>
    <m/>
    <s v="No"/>
    <s v="No"/>
    <m/>
    <x v="3"/>
    <s v="Desarrollos en Salud SA"/>
    <s v="Enfermeria"/>
    <s v="Terapia Intensiva"/>
    <s v="Asistencial/Enfermería"/>
    <s v="Enfermero/a de Terapia Intensiva"/>
    <s v="Alvez"/>
    <m/>
    <x v="2"/>
    <x v="2"/>
    <d v="2026-05-18T00:00:00"/>
    <s v="Baja"/>
    <s v="Media"/>
    <s v="Reemplazo"/>
    <n v="170762"/>
    <s v="ASTORGA DIAZ WENDY "/>
    <s v="Renuncia "/>
    <s v="Indeterminado "/>
    <m/>
    <m/>
    <s v="14 a 22 hs"/>
    <s v="SANATORIO"/>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9">
  <r>
    <s v="00001"/>
    <d v="2025-01-16T00:00:00"/>
    <s v="Cerrada"/>
    <s v="Franco"/>
    <s v="Aprobada"/>
    <m/>
    <s v="No"/>
    <m/>
    <m/>
    <x v="0"/>
    <s v="Cobensil SA"/>
    <s v="Ventas Retail"/>
    <s v="Comercial"/>
    <x v="0"/>
    <s v="VENDEDOR/A"/>
    <s v="Serafin"/>
    <m/>
    <x v="0"/>
    <x v="0"/>
    <m/>
    <m/>
    <m/>
    <s v="Reemplazo"/>
    <m/>
    <s v="MOYANO ARIANA SOLEDAD (168710)"/>
    <m/>
    <s v="Inderminado "/>
    <m/>
    <m/>
    <s v="Lunes a Viernes de 10 a 18hs"/>
    <s v="Sede Colegiales (Lacroze 3257)"/>
    <d v="2026-02-04T00:00:00"/>
    <d v="2026-02-10T00:00:00"/>
    <m/>
    <m/>
    <s v="BANEGAS NEMBHARD, MARYANA ALEXANDRA"/>
    <s v="$1.271.329,36 bruto /  $1.036.688,00 neto"/>
    <s v="130/75"/>
    <s v="No"/>
    <s v="No"/>
    <m/>
  </r>
  <r>
    <s v="00002"/>
    <d v="2025-01-21T00:00:00"/>
    <s v="Cerrada"/>
    <s v="Franco"/>
    <s v="Aprobada"/>
    <m/>
    <m/>
    <m/>
    <m/>
    <x v="0"/>
    <m/>
    <s v="Ventas Retail"/>
    <s v="Comercial"/>
    <x v="0"/>
    <s v="VENDEDOR/A"/>
    <s v="Serafin"/>
    <m/>
    <x v="0"/>
    <x v="0"/>
    <m/>
    <m/>
    <m/>
    <s v="Apertura de puesto"/>
    <m/>
    <m/>
    <m/>
    <s v="Inderminado "/>
    <m/>
    <m/>
    <m/>
    <m/>
    <d v="2026-02-11T00:00:00"/>
    <d v="2026-02-18T00:00:00"/>
    <m/>
    <m/>
    <s v="Matias Yanez"/>
    <m/>
    <m/>
    <m/>
    <m/>
    <m/>
  </r>
  <r>
    <s v="00003"/>
    <d v="2025-01-21T00:00:00"/>
    <s v="Cerrada"/>
    <s v="Franco"/>
    <s v="Aprobada"/>
    <m/>
    <m/>
    <m/>
    <m/>
    <x v="0"/>
    <m/>
    <s v="Ventas Retail"/>
    <s v="Comercial"/>
    <x v="0"/>
    <s v="VENDEDOR/A"/>
    <s v="Serafin"/>
    <m/>
    <x v="0"/>
    <x v="0"/>
    <m/>
    <m/>
    <m/>
    <s v="Apertura de puesto"/>
    <m/>
    <m/>
    <m/>
    <s v="Inderminado "/>
    <m/>
    <m/>
    <m/>
    <m/>
    <d v="2026-02-11T00:00:00"/>
    <d v="2026-02-18T00:00:00"/>
    <m/>
    <m/>
    <s v="Perla Carvajal "/>
    <m/>
    <m/>
    <m/>
    <m/>
    <m/>
  </r>
  <r>
    <s v="00004"/>
    <d v="2025-01-21T00:00:00"/>
    <s v="Cerrada"/>
    <s v="Franco"/>
    <s v="Aprobada"/>
    <m/>
    <s v="No"/>
    <m/>
    <m/>
    <x v="0"/>
    <s v="Cobensil SA"/>
    <s v="Ventas Retail"/>
    <s v="Comercial"/>
    <x v="0"/>
    <s v="VENDEDOR/A"/>
    <s v="Serafin"/>
    <s v="Sergio Couceiro"/>
    <x v="0"/>
    <x v="0"/>
    <d v="2026-03-19T00:00:00"/>
    <s v="Baja"/>
    <s v="Media"/>
    <s v="Apertura de puesto"/>
    <m/>
    <m/>
    <m/>
    <s v="Inderminado "/>
    <m/>
    <m/>
    <s v="Lunes a Viernes de 10 a 18 hs"/>
    <s v="Cober - Vicente Lopez"/>
    <d v="2026-03-13T00:00:00"/>
    <d v="2026-03-19T00:00:00"/>
    <s v="Externa"/>
    <s v="Consultora"/>
    <s v=" Lady Gomes "/>
    <s v=" $1.271.329,36 Bruto"/>
    <s v="130/75"/>
    <s v="No"/>
    <s v="No"/>
    <m/>
  </r>
  <r>
    <s v="00005"/>
    <d v="2025-01-21T00:00:00"/>
    <s v="Cerrada"/>
    <s v="Franco"/>
    <s v="Aprobada"/>
    <m/>
    <s v="No"/>
    <m/>
    <m/>
    <x v="0"/>
    <s v="Cobensil SA"/>
    <s v="Ventas Retail"/>
    <s v="Comercial"/>
    <x v="0"/>
    <s v="VENDEDOR/A"/>
    <s v="Serafin"/>
    <s v="Sergio Couceiro"/>
    <x v="0"/>
    <x v="0"/>
    <d v="2026-03-19T00:00:00"/>
    <s v="Baja"/>
    <s v="Media"/>
    <s v="Apertura de puesto"/>
    <m/>
    <m/>
    <m/>
    <s v="Inderminado "/>
    <m/>
    <m/>
    <s v="Lunes a Viernes de 10 a 18 hs"/>
    <s v="Cober - Vicente Lopez"/>
    <d v="2026-03-13T00:00:00"/>
    <d v="2026-03-19T00:00:00"/>
    <s v="Externa"/>
    <s v="Consultora"/>
    <s v=" Joel Dree "/>
    <s v=" $1.271.329,36 Bruto"/>
    <s v="130/75"/>
    <s v="No"/>
    <s v="No"/>
    <m/>
  </r>
  <r>
    <s v="00006"/>
    <d v="2025-01-21T00:00:00"/>
    <s v="Cerrada"/>
    <s v="Franco"/>
    <s v="Aprobada"/>
    <m/>
    <s v="No"/>
    <m/>
    <m/>
    <x v="0"/>
    <s v="Cobensil SA"/>
    <s v="Ventas Retail"/>
    <s v="Comercial"/>
    <x v="0"/>
    <s v="VENDEDOR/A"/>
    <s v="Serafin"/>
    <s v="Sergio Couceiro"/>
    <x v="0"/>
    <x v="0"/>
    <d v="2026-03-19T00:00:00"/>
    <s v="Baja"/>
    <s v="Media"/>
    <s v="Apertura de puesto"/>
    <m/>
    <m/>
    <m/>
    <s v="Inderminado "/>
    <m/>
    <m/>
    <s v="Lunes a Viernes de 10 a 18 hs"/>
    <s v="Cober - Vicente Lopez"/>
    <d v="2026-03-13T00:00:00"/>
    <d v="2026-03-19T00:00:00"/>
    <s v="Externa"/>
    <s v="Consultora"/>
    <s v=" Romina Rojas "/>
    <s v=" $1.271.329,36 Bruto"/>
    <s v="130/75"/>
    <s v="No"/>
    <s v="No"/>
    <m/>
  </r>
  <r>
    <s v="00007"/>
    <d v="2025-01-21T00:00:00"/>
    <s v="Cerrada"/>
    <s v="Franco"/>
    <s v="Aprobada"/>
    <m/>
    <s v="No"/>
    <m/>
    <m/>
    <x v="0"/>
    <s v="Cobensil SA"/>
    <s v="Ventas Retail"/>
    <s v="Comercial"/>
    <x v="0"/>
    <s v="VENDEDOR/A"/>
    <s v="Serafin"/>
    <s v=" Patricia Mozota"/>
    <x v="0"/>
    <x v="0"/>
    <d v="2026-03-19T00:00:00"/>
    <s v="Baja"/>
    <s v="Media"/>
    <s v="Apertura de puesto"/>
    <m/>
    <m/>
    <m/>
    <s v="Inderminado "/>
    <m/>
    <m/>
    <s v="Lunes a Viernes de 10 a 18 hs"/>
    <s v="Cober - Lacroze"/>
    <d v="2026-03-13T00:00:00"/>
    <d v="2026-03-19T00:00:00"/>
    <s v="Externa"/>
    <s v="Consultora"/>
    <s v=" Carolina Ledesma "/>
    <s v=" $1.271.329,36 Bruto"/>
    <s v="130/75"/>
    <s v="No"/>
    <s v="No"/>
    <m/>
  </r>
  <r>
    <s v="00008"/>
    <d v="2025-01-21T00:00:00"/>
    <s v="Cerrada"/>
    <s v="Franco"/>
    <s v="Aprobada"/>
    <m/>
    <s v="No"/>
    <m/>
    <m/>
    <x v="0"/>
    <s v="Cobensil SA"/>
    <s v="Ventas Retail"/>
    <s v="Comercial"/>
    <x v="0"/>
    <s v="VENDEDOR/A"/>
    <s v="Serafin"/>
    <s v=" Patricia Mozota"/>
    <x v="0"/>
    <x v="0"/>
    <d v="2026-03-19T00:00:00"/>
    <s v="Baja"/>
    <m/>
    <s v="Apertura de puesto"/>
    <m/>
    <m/>
    <m/>
    <s v="Inderminado "/>
    <m/>
    <m/>
    <s v="Lunes a Viernes de 10 a 18 hs"/>
    <s v="Cober - Lacroze"/>
    <d v="2026-03-13T00:00:00"/>
    <d v="2026-03-19T00:00:00"/>
    <s v="Externa"/>
    <s v="Consultora"/>
    <s v=" Julieta Gutcovsky "/>
    <s v=" $1.271.329,36 Bruto"/>
    <s v="130/75"/>
    <s v="No"/>
    <s v="No"/>
    <m/>
  </r>
  <r>
    <s v="00009"/>
    <d v="2025-01-21T00:00:00"/>
    <s v="Cerrada"/>
    <s v="Franco"/>
    <s v="Aprobada"/>
    <m/>
    <s v="No"/>
    <m/>
    <m/>
    <x v="0"/>
    <s v="Cobensil SA"/>
    <s v="Ventas Retail"/>
    <s v="Comercial"/>
    <x v="0"/>
    <s v="VENDEDOR/A"/>
    <s v="Serafin"/>
    <s v=" Patricia Mozota"/>
    <x v="0"/>
    <x v="0"/>
    <d v="2026-03-19T00:00:00"/>
    <s v="Baja"/>
    <m/>
    <s v="Apertura de puesto"/>
    <m/>
    <m/>
    <m/>
    <s v="Inderminado "/>
    <m/>
    <m/>
    <s v="Lunes a Viernes de 10 a 18 hs"/>
    <s v="Cober - Lacroze"/>
    <d v="2026-03-13T00:00:00"/>
    <d v="2026-03-19T00:00:00"/>
    <s v="Externa"/>
    <s v="Consultora"/>
    <s v=" Noelia Quintana "/>
    <s v=" $1.271.329,36 Bruto"/>
    <s v="130/75"/>
    <s v="No"/>
    <s v="No"/>
    <m/>
  </r>
  <r>
    <s v="00010"/>
    <d v="2025-01-21T00:00:00"/>
    <s v="Cerrada"/>
    <s v="Franco"/>
    <s v="Aprobada"/>
    <m/>
    <m/>
    <m/>
    <m/>
    <x v="0"/>
    <s v="Bristol Medicine SRL"/>
    <s v="Ventas Retail"/>
    <s v="Comercial"/>
    <x v="0"/>
    <s v="VENDEDOR/A"/>
    <s v="Serafin"/>
    <s v="Gabriela Mira"/>
    <x v="0"/>
    <x v="0"/>
    <d v="2026-03-19T00:00:00"/>
    <s v="Baja"/>
    <m/>
    <s v="Apertura de puesto"/>
    <m/>
    <m/>
    <m/>
    <s v="Inderminado "/>
    <m/>
    <m/>
    <s v="Lunes a Viernes de 10 a 17hs"/>
    <s v="Bristol - Céspedes"/>
    <d v="2026-03-16T00:00:00"/>
    <d v="2026-03-19T00:00:00"/>
    <s v="Externa"/>
    <s v="Consultora"/>
    <s v=" Ryan Hutchinson "/>
    <s v=" $961.576,34 Bruto"/>
    <s v="108/75"/>
    <s v="No"/>
    <s v="No"/>
    <m/>
  </r>
  <r>
    <s v="00011"/>
    <d v="2025-01-21T00:00:00"/>
    <s v="Cerrada"/>
    <s v="Franco"/>
    <s v="Aprobada"/>
    <m/>
    <m/>
    <m/>
    <m/>
    <x v="0"/>
    <s v="Bristol Medicine SRL"/>
    <s v="Ventas Retail"/>
    <s v="Comercial"/>
    <x v="0"/>
    <s v="VENDEDOR/A"/>
    <s v="Serafin"/>
    <s v="Gabriela Mira"/>
    <x v="0"/>
    <x v="0"/>
    <d v="2026-03-19T00:00:00"/>
    <s v="Baja"/>
    <m/>
    <s v="Apertura de puesto"/>
    <m/>
    <m/>
    <m/>
    <s v="Inderminado "/>
    <m/>
    <m/>
    <s v="Lunes a Viernes de 10 a 17hs"/>
    <s v="Bristol - Céspedes"/>
    <d v="2026-03-16T00:00:00"/>
    <d v="2026-03-19T00:00:00"/>
    <s v="Externa"/>
    <s v="Consultora"/>
    <s v=" Katia Lambare "/>
    <s v=" $961.576,34 Bruto"/>
    <s v="108/75"/>
    <s v="No"/>
    <s v="No"/>
    <m/>
  </r>
  <r>
    <s v="00012"/>
    <d v="2025-01-21T00:00:00"/>
    <s v="Cerrada"/>
    <s v="Franco"/>
    <s v="Aprobada"/>
    <m/>
    <m/>
    <m/>
    <m/>
    <x v="0"/>
    <s v="Bristol Medicine SRL"/>
    <s v="Ventas Retail"/>
    <s v="Comercial"/>
    <x v="0"/>
    <s v="VENDEDOR/A"/>
    <s v="Serafin"/>
    <s v="Vanesa Serafin "/>
    <x v="0"/>
    <x v="0"/>
    <d v="2026-03-19T00:00:00"/>
    <s v="Baja"/>
    <m/>
    <s v="Apertura de puesto"/>
    <m/>
    <m/>
    <m/>
    <s v="Inderminado "/>
    <m/>
    <m/>
    <s v="Lunes a Viernes de 10 a 17hs"/>
    <s v="Bristol - Céspedes"/>
    <d v="2026-03-16T00:00:00"/>
    <d v="2026-03-19T00:00:00"/>
    <s v="Externa"/>
    <s v="Consultora"/>
    <s v=" Brian Gryncwejg "/>
    <s v=" $961.576,34 Bruto"/>
    <s v="108/75"/>
    <s v="No"/>
    <s v="No"/>
    <m/>
  </r>
  <r>
    <s v="00013"/>
    <d v="2025-06-10T00:00:00"/>
    <s v="Cerrada"/>
    <s v="Jose"/>
    <s v="Aprobada"/>
    <m/>
    <m/>
    <m/>
    <m/>
    <x v="1"/>
    <s v="Reinsal"/>
    <s v="Ventas"/>
    <s v="Comercial"/>
    <x v="1"/>
    <s v="Jefe de Ventas"/>
    <s v="Serpone"/>
    <m/>
    <x v="0"/>
    <x v="0"/>
    <m/>
    <m/>
    <m/>
    <s v="Reemplazo"/>
    <m/>
    <s v="Gabriel De Angelis"/>
    <m/>
    <s v="Inderminado "/>
    <m/>
    <m/>
    <s v="L a V de 9h a 18h"/>
    <s v="La Musa"/>
    <m/>
    <d v="2026-02-23T00:00:00"/>
    <m/>
    <m/>
    <s v="Juan Pablo Ratuszniak"/>
    <s v="1800000 Neto | Bruto 2.168.675"/>
    <s v="FUCO"/>
    <s v="Ok"/>
    <s v="SI"/>
    <s v="14/11 se reclama agenda a Damián por entrevistas, 20/11 Damián conoce 2 candidatos / 25-11 Damian selecciona un candidato. El candidato se baja por mejora salarial en su trabajo. Se baja del proceso. Reinicia la busqueda /Nuestra propuesta 2 millones en mano + comisiones."/>
  </r>
  <r>
    <s v="00014"/>
    <d v="2025-08-28T00:00:00"/>
    <s v="Cerrada"/>
    <s v="Jose"/>
    <s v="Aprobada"/>
    <m/>
    <m/>
    <m/>
    <m/>
    <x v="0"/>
    <s v="Cobensil"/>
    <s v="Cobranzas"/>
    <s v="Facturación y Cobranzas"/>
    <x v="1"/>
    <s v="Supervisor/a de facturación y cobranzas"/>
    <s v="Rodríguez"/>
    <m/>
    <x v="0"/>
    <x v="0"/>
    <m/>
    <m/>
    <m/>
    <s v="Apertura de puesto"/>
    <m/>
    <m/>
    <m/>
    <s v="Inderminado "/>
    <m/>
    <m/>
    <s v="L a V de 09h a 18h"/>
    <s v="Ravignani"/>
    <d v="2025-12-16T00:00:00"/>
    <d v="2026-01-02T00:00:00"/>
    <m/>
    <m/>
    <s v="Paula García"/>
    <s v="1.800.000$ netos"/>
    <s v="FUCO"/>
    <m/>
    <m/>
    <s v="25/11/2025 se presenta una terna de 3 candidatos a Florencia Rodriguez, 05/12 conoció a Paula Garcia, 09/12 fue derivada a psico y preo"/>
  </r>
  <r>
    <s v="00015"/>
    <d v="2025-09-16T00:00:00"/>
    <s v="Cerrada"/>
    <s v="Jose"/>
    <s v="Cancelada"/>
    <m/>
    <m/>
    <m/>
    <m/>
    <x v="2"/>
    <m/>
    <s v="Mantenimiento"/>
    <s v="Servicios de Apoyo"/>
    <x v="1"/>
    <s v="Jefe/a de Mantenimiento"/>
    <s v="Porretti"/>
    <m/>
    <x v="1"/>
    <x v="1"/>
    <m/>
    <s v="Alta"/>
    <s v="Baja "/>
    <s v="Apertura de puesto"/>
    <m/>
    <m/>
    <m/>
    <s v="Inderminado "/>
    <m/>
    <m/>
    <s v="Lunes a Viernes 9 a 18 hs"/>
    <m/>
    <m/>
    <m/>
    <m/>
    <m/>
    <m/>
    <s v="$ 3.253.012,05 bruto / $ 2.700.000 neto"/>
    <s v="FUCO"/>
    <m/>
    <m/>
    <s v="Nicolas Ruiz no apto Labo / 1 candidato en curso OK - banda 3 k brutos . Se presentará dos candidatos que no tienen formación requerida para contemplarlos en el análisis "/>
  </r>
  <r>
    <s v="00016"/>
    <d v="2025-10-01T00:00:00"/>
    <s v="Cerrada"/>
    <s v="Ema"/>
    <s v="Aprobada"/>
    <m/>
    <m/>
    <m/>
    <m/>
    <x v="3"/>
    <s v="CIRENDSA"/>
    <s v="Traumatología"/>
    <s v="Guardia"/>
    <x v="2"/>
    <s v="MEDICO/A"/>
    <s v="Faiman"/>
    <m/>
    <x v="0"/>
    <x v="0"/>
    <m/>
    <m/>
    <m/>
    <s v="Reemplazo"/>
    <m/>
    <m/>
    <m/>
    <s v="Plazo Fijo"/>
    <m/>
    <m/>
    <s v="MARTES 8 A 20 HS"/>
    <s v="SANATORIO"/>
    <d v="2025-11-13T00:00:00"/>
    <d v="2026-01-06T00:00:00"/>
    <m/>
    <m/>
    <s v="SAMMY OSPINA"/>
    <s v="$977.367,60 bruto / $796.554,59 neto"/>
    <s v="AMAP"/>
    <s v="No"/>
    <m/>
    <s v="M8-20 - Esperando certificado especialista // 18-12 recibe el certificado de especialdiad // 22-12 contacto con Faiman para definir ingreso // 26-12 confirma su ingreso"/>
  </r>
  <r>
    <s v="00017"/>
    <d v="2025-10-13T00:00:00"/>
    <s v="Cerrada"/>
    <s v="Jose"/>
    <s v="Aprobada"/>
    <m/>
    <m/>
    <m/>
    <m/>
    <x v="3"/>
    <m/>
    <s v="Comercial "/>
    <s v="Administración y Finanzas"/>
    <x v="1"/>
    <s v="Responsable de Ventas Institucionales"/>
    <s v="Poeta"/>
    <m/>
    <x v="0"/>
    <x v="0"/>
    <m/>
    <m/>
    <m/>
    <s v="Reemplazo"/>
    <m/>
    <s v="Leandro Gómez"/>
    <m/>
    <s v="Inderminado "/>
    <m/>
    <m/>
    <m/>
    <m/>
    <m/>
    <d v="2026-01-05T00:00:00"/>
    <m/>
    <m/>
    <s v="FLorencia Fernandez ( Promoción)"/>
    <m/>
    <m/>
    <m/>
    <m/>
    <s v="19/11 psicotecnico Florencia Fernández actual solaboradora del área / Buscar reemplazo: se presenta 25/11"/>
  </r>
  <r>
    <s v="00018"/>
    <d v="2025-10-15T00:00:00"/>
    <s v="Cerrada"/>
    <s v="Franco"/>
    <s v="Aprobada"/>
    <m/>
    <m/>
    <m/>
    <m/>
    <x v="3"/>
    <s v="Cirenda"/>
    <s v="Procesos Retributivos"/>
    <s v="Administración y Finanzas"/>
    <x v="3"/>
    <s v="FACTURISTA"/>
    <s v="Alvarez"/>
    <m/>
    <x v="0"/>
    <x v="0"/>
    <m/>
    <m/>
    <m/>
    <s v="Reemplazo"/>
    <m/>
    <m/>
    <m/>
    <s v="Eventual "/>
    <m/>
    <m/>
    <s v="Lunes a Viernes de 9 a 18hs"/>
    <s v="SANATORIO"/>
    <d v="2026-01-05T00:00:00"/>
    <d v="2026-01-12T00:00:00"/>
    <m/>
    <m/>
    <s v="Anabella Belen Pantano"/>
    <s v="$1.207.568,30  Bruto / $1.008.912,50 neto"/>
    <n v="122"/>
    <s v="No"/>
    <s v="No"/>
    <s v="Débitos"/>
  </r>
  <r>
    <s v="00019"/>
    <d v="2025-10-27T00:00:00"/>
    <s v="Cerrada"/>
    <s v="Franco"/>
    <s v="Aprobada"/>
    <m/>
    <m/>
    <m/>
    <m/>
    <x v="4"/>
    <s v="Desarollos en salud"/>
    <s v="Comercial "/>
    <s v="Administración y Finanzas"/>
    <x v="3"/>
    <s v="Administrativo/a comercial"/>
    <s v="Poeta"/>
    <m/>
    <x v="0"/>
    <x v="0"/>
    <m/>
    <m/>
    <m/>
    <s v="Reemplazo"/>
    <m/>
    <s v="Florencia Anahi Fernandez (157891)"/>
    <m/>
    <s v="Plazo Fijo"/>
    <m/>
    <m/>
    <s v="Lunes a Viernes de 9 a 18hs"/>
    <s v="La Musa y Sanatorio"/>
    <d v="2025-12-30T00:00:00"/>
    <d v="2026-01-12T00:00:00"/>
    <m/>
    <m/>
    <s v="Yamila Genaisir"/>
    <s v="$1.584.578,31 bruto / $1.315.200,00 Neto"/>
    <s v="FUCO"/>
    <s v="Si"/>
    <s v="No"/>
    <s v="Puesto: Administrativa de presupuestos. Reemplaza a Florencia por ascenso de esta misma."/>
  </r>
  <r>
    <s v="00020"/>
    <d v="2025-10-27T00:00:00"/>
    <s v="Cerrada"/>
    <s v="Franco"/>
    <s v="Aprobada"/>
    <m/>
    <m/>
    <m/>
    <m/>
    <x v="5"/>
    <s v="CMV"/>
    <s v="Administración y Finanzas"/>
    <s v="Administración y Finanzas"/>
    <x v="3"/>
    <s v="Administrativo/a Contable"/>
    <s v="Rea"/>
    <m/>
    <x v="0"/>
    <x v="0"/>
    <m/>
    <m/>
    <m/>
    <s v="Reemplazo"/>
    <m/>
    <s v="Agudelo"/>
    <m/>
    <s v="Inderminado "/>
    <m/>
    <m/>
    <s v="Lunes a Viernes de 9 a 18hs"/>
    <s v="CMV"/>
    <d v="2026-01-27T00:00:00"/>
    <d v="2026-02-03T00:00:00"/>
    <m/>
    <m/>
    <s v="Melanie Laffon"/>
    <s v="$1.300.000 neto"/>
    <s v="FUCO"/>
    <s v="No"/>
    <s v="No"/>
    <s v="20/11 - Eugenia conoce un candidato, el candidato cancela entrevista, 27/11 - Eugenia en conjunto con Rrhh conocera a 2 candidatos. 2 candidatas en preoc. Iba a ingresar el dia 6/1/25 una candidata pero no se presento. Ese mismo dia se retoma busqueda de perfiles. Se avanza con Melanie Laffon"/>
  </r>
  <r>
    <s v="00021"/>
    <d v="2025-11-01T00:00:00"/>
    <s v="Cerrada"/>
    <s v="Ema"/>
    <s v="Aprobada"/>
    <m/>
    <m/>
    <m/>
    <m/>
    <x v="3"/>
    <s v="CIRENDSA"/>
    <s v="Hotelería"/>
    <s v="Internación"/>
    <x v="4"/>
    <s v="MUCAMO/A"/>
    <s v="Valeria Dodero"/>
    <m/>
    <x v="0"/>
    <x v="0"/>
    <m/>
    <m/>
    <m/>
    <s v="Reemplazo"/>
    <m/>
    <s v="Libramento T"/>
    <m/>
    <s v="Eventual "/>
    <m/>
    <m/>
    <s v="14-22 HS"/>
    <s v="SANATORIO"/>
    <d v="2025-12-30T00:00:00"/>
    <d v="2026-01-06T00:00:00"/>
    <m/>
    <m/>
    <s v="LEONOR ORELLANA"/>
    <s v="$1.000.154,62  bruto /  $830.004,50 NETO"/>
    <s v="122/75"/>
    <s v="No"/>
    <m/>
    <s v="18-12 8 perfiles en preoc / 30-12 apto"/>
  </r>
  <r>
    <s v="00022"/>
    <d v="2025-11-01T00:00:00"/>
    <s v="Cerrada"/>
    <s v="Ema"/>
    <s v="Aprobada"/>
    <m/>
    <m/>
    <m/>
    <m/>
    <x v="3"/>
    <s v="CIRENDSA"/>
    <s v="Kinesiología"/>
    <s v="Terapia Intensiva"/>
    <x v="5"/>
    <s v="KINESIOLOGO/A"/>
    <s v="Laredo"/>
    <m/>
    <x v="0"/>
    <x v="0"/>
    <m/>
    <m/>
    <m/>
    <s v="Reemplazo"/>
    <m/>
    <s v="Menchon J"/>
    <m/>
    <s v="Plazo Fijo"/>
    <m/>
    <m/>
    <s v="Lunes a Viernes 14 a 20 hs, 1 Sábado y Domingo al mes 8 a 20 hs. Feriado rotativo"/>
    <s v="SANATORIO"/>
    <d v="2025-12-24T00:00:00"/>
    <d v="2026-01-06T00:00:00"/>
    <m/>
    <m/>
    <s v="ARACELI SARMIENTO"/>
    <s v="$1.962.564,65 bruto / $1.628.956,00 neto"/>
    <s v="122/75"/>
    <s v="No"/>
    <m/>
    <s v="12/11 Marcos T. - 13/11 18/11 Cvs no avanzan - 28/11 entrevista Lucas M decide no avanzar - 4/12 Patricio M no asiste // 12-12 entrevista Araceli / 18-12 Araceli en preo"/>
  </r>
  <r>
    <s v="00023"/>
    <d v="2025-11-01T00:00:00"/>
    <s v="Cerrada"/>
    <s v="Ema"/>
    <s v="Aprobada"/>
    <m/>
    <m/>
    <m/>
    <m/>
    <x v="3"/>
    <s v="CIRENDSA"/>
    <s v="Enfermeria"/>
    <s v="Terapia Intensiva"/>
    <x v="6"/>
    <s v="Enfermero/a de Terapia Intensiva"/>
    <s v="Alvez"/>
    <m/>
    <x v="0"/>
    <x v="0"/>
    <m/>
    <m/>
    <m/>
    <s v="Reemplazo"/>
    <m/>
    <s v=" Camino C "/>
    <m/>
    <s v="Eventual "/>
    <m/>
    <m/>
    <s v="22 A 6 HS"/>
    <s v="SANATORIO"/>
    <d v="2026-01-27T00:00:00"/>
    <d v="2026-02-02T00:00:00"/>
    <m/>
    <m/>
    <s v="STEPHANIE VERA                "/>
    <s v="$1.554.520,85  bruto /       $1.295.707,00 neto"/>
    <s v="122/75"/>
    <s v="No"/>
    <m/>
    <s v="11/11 entrevista. Perfiles sólo de CM. 20/11 entrevista. No gustaron los perfiles UTI/UCO - 03/12 entrevista. Ninguno con experiencia en UTI/UCO asistió. Agendando nueva entrevista / 6 candidatos en preocupacional "/>
  </r>
  <r>
    <s v="00024"/>
    <d v="2025-11-01T00:00:00"/>
    <s v="Cerrada"/>
    <s v="Ema"/>
    <s v="Aprobada"/>
    <m/>
    <m/>
    <m/>
    <m/>
    <x v="3"/>
    <s v="CIRENDSA"/>
    <s v="Enfermeria"/>
    <s v="Terapia Intensiva"/>
    <x v="6"/>
    <s v="Enfermero/a de Terapia Intensiva"/>
    <s v="Alvez"/>
    <m/>
    <x v="0"/>
    <x v="0"/>
    <m/>
    <m/>
    <m/>
    <s v="Reemplazo"/>
    <m/>
    <s v=" Ibarra Gilda"/>
    <m/>
    <s v="Eventual "/>
    <m/>
    <m/>
    <s v="22 A 6 HS"/>
    <s v="SANATORIO"/>
    <d v="2026-01-27T00:00:00"/>
    <d v="2026-02-02T00:00:00"/>
    <m/>
    <m/>
    <s v="MARIA GONZALEZ"/>
    <s v="$1.554.520,85  bruto /       $1.295.707,00 neto"/>
    <s v="122/75"/>
    <s v="No"/>
    <m/>
    <s v="11/11 entrevista. Perfiles sólo de CM. 20/11 entrevista. No gustaron los perfiles UTI/UCO - 03/12 entrevista. Ninguno con experiencia en UTI/UCO asistió. Agendando nueva entrevista / 6 candidatos en preocupacional "/>
  </r>
  <r>
    <s v="00025"/>
    <d v="2025-11-01T00:00:00"/>
    <s v="Cerrada"/>
    <s v="Fer"/>
    <s v="Aprobada"/>
    <m/>
    <m/>
    <m/>
    <m/>
    <x v="4"/>
    <s v="Cober"/>
    <s v="Gestión de las Personas"/>
    <s v="Administración y Finanzas"/>
    <x v="7"/>
    <s v="Liquidador/a de sueldos"/>
    <s v="Ezequiel"/>
    <m/>
    <x v="0"/>
    <x v="0"/>
    <m/>
    <m/>
    <m/>
    <s v="Apertura de puesto"/>
    <m/>
    <m/>
    <m/>
    <s v="Inderminado "/>
    <m/>
    <m/>
    <s v="Lunes a viernes de 8 a 17hs"/>
    <s v="La Musa"/>
    <d v="2026-01-05T00:00:00"/>
    <d v="2026-01-12T00:00:00"/>
    <m/>
    <m/>
    <s v="Eduardo Rodriguez Rosales"/>
    <s v="$2.000.000 neto"/>
    <s v="FUCO"/>
    <s v="Si"/>
    <s v="No"/>
    <s v="se conoció 1 candidato la primera semana de noviembre, se ajusta el perfil no jr, se sube la remuneración 1.7,  se entrevistaron 3 candidatos/ se vuelve a  ajusto el perfil diversidad de convios que venga de consultoras. Se derivo a consultora se ajusta salario a 2 M"/>
  </r>
  <r>
    <s v="00026"/>
    <d v="2025-11-11T00:00:00"/>
    <s v="Cerrada"/>
    <s v="Jose"/>
    <s v="Aprobada"/>
    <m/>
    <m/>
    <m/>
    <m/>
    <x v="6"/>
    <s v="Argil"/>
    <s v="Laboratorio"/>
    <s v="Operaciones"/>
    <x v="5"/>
    <s v="BIOQUIMICO/A"/>
    <s v="Mercedes"/>
    <m/>
    <x v="0"/>
    <x v="0"/>
    <m/>
    <m/>
    <m/>
    <s v="Reemplazo"/>
    <m/>
    <s v="Mercdes Miglianone"/>
    <m/>
    <s v="Plazo Fijo"/>
    <m/>
    <m/>
    <s v="L a V 12h a 18h, Sábado fléxibles"/>
    <s v="Argil"/>
    <d v="2025-12-26T00:00:00"/>
    <d v="2026-01-18T00:00:00"/>
    <m/>
    <m/>
    <s v="Valeria Cánovas"/>
    <s v="2.300.000$ Netos"/>
    <s v="FUCO"/>
    <m/>
    <m/>
    <s v="25/11 entrevistas, 12/12 Avanza a psico y preo Valeria Cánovas"/>
  </r>
  <r>
    <s v="00027"/>
    <d v="2025-11-12T00:00:00"/>
    <s v="Cerrada"/>
    <s v="Franco"/>
    <s v="Aprobada"/>
    <m/>
    <m/>
    <m/>
    <m/>
    <x v="4"/>
    <m/>
    <s v="Comunicación"/>
    <s v="Marketing"/>
    <x v="7"/>
    <s v="Analista de marketing"/>
    <s v="Pachelo"/>
    <m/>
    <x v="0"/>
    <x v="0"/>
    <m/>
    <m/>
    <m/>
    <s v="Reemplazo"/>
    <m/>
    <s v="Camila Osa"/>
    <m/>
    <s v="Inderminado "/>
    <m/>
    <m/>
    <s v="Lunes a Viernes de 9 a 18hs"/>
    <s v="Cramer"/>
    <d v="2026-02-10T00:00:00"/>
    <d v="2026-02-23T00:00:00"/>
    <m/>
    <m/>
    <s v="Candela Fernandez"/>
    <s v="$1.600.000 neto"/>
    <s v="FUCO"/>
    <s v="Si. (Pedido lunes 09/02/26)"/>
    <s v="No"/>
    <s v="18/11 - se envía 6 perfiles a Pachelo, se acuerda esperar el retorno de Lucía de vacaciones para avanzar con entrevista grupal, 4/12 entrevista con 3 candidatos - mencionan que les enviemos mas perfiles para tomar una decision, 9/12 se envian por mail 4 cv's para su analisis y poder coordinar entrevistas. 22/12 Se envia feedback a F.Pachelo de las entrevistas de 3 candidatos que nos gustaron luego de realizar entrevistas. / Pachelo selecciona a una candidata +  Tenemos 1 backup. Se avanza con Guadalupe Diaz Bo el 23-01-26, 28-01-26 se recibe preoc no apto. En paralelo, se envia a entrevista con F.Pachelo candidata de back up el dia 29-01-26. Se avanza con la candidata de back up Candela Fernandez a preoc."/>
  </r>
  <r>
    <s v="00028"/>
    <d v="2025-11-14T00:00:00"/>
    <s v="Cerrada"/>
    <s v="Ema"/>
    <s v="Aprobada"/>
    <m/>
    <m/>
    <m/>
    <m/>
    <x v="5"/>
    <s v="CMV"/>
    <s v="Administración"/>
    <s v="Administración"/>
    <x v="8"/>
    <s v="CONTADOR/A"/>
    <s v="Colalillo"/>
    <m/>
    <x v="0"/>
    <x v="0"/>
    <m/>
    <m/>
    <m/>
    <s v="Reemplazo"/>
    <m/>
    <s v="Eugenia Rea"/>
    <s v="Desvinculación empresa"/>
    <s v="Inderminado "/>
    <m/>
    <m/>
    <s v="Lunes a Viernes de 9 a 18hs"/>
    <s v="La Musa"/>
    <d v="2026-02-27T00:00:00"/>
    <d v="2026-03-03T00:00:00"/>
    <m/>
    <m/>
    <s v="JESICA SEGOVIA"/>
    <s v="$ 3.132.530,12 bruto / $ 2.600.000 neto"/>
    <s v="FUCO"/>
    <s v="Si. (Pedido Viernes 27/2)"/>
    <s v="No"/>
    <s v="14/11 relevamiento perfil claudia / 25/11 lectura de cvs / 4/12 3 entrevistas RRHH / 05/12 perfiles enviados a Claudio / 12/12 Claudio solicita entrevistar - 15 a 19/12 Claudio vacaciones /  Claudio entrvistatará 2 candidatos ,semana del 26/01 - 02/02 preo y psico  / 18/02 - No se generó la vacante "/>
  </r>
  <r>
    <s v="00029"/>
    <d v="2025-11-14T00:00:00"/>
    <s v="Cerrada"/>
    <s v="Franco"/>
    <s v="Aprobada"/>
    <m/>
    <m/>
    <m/>
    <m/>
    <x v="3"/>
    <s v="Desarollos en salud"/>
    <s v="Sistemas"/>
    <s v="Sistemas"/>
    <x v="9"/>
    <s v="Pasante"/>
    <s v="Gatica"/>
    <m/>
    <x v="0"/>
    <x v="0"/>
    <m/>
    <m/>
    <m/>
    <s v="Apertura de puesto"/>
    <m/>
    <m/>
    <m/>
    <s v="Inderminado "/>
    <m/>
    <m/>
    <s v="20hs semanales, con horario a coordinar"/>
    <s v="SANATORIO"/>
    <d v="2026-01-05T00:00:00"/>
    <d v="2026-01-19T00:00:00"/>
    <m/>
    <m/>
    <s v="Vicente D’Annunzio"/>
    <s v="$388.330,00 bruto"/>
    <m/>
    <s v="No"/>
    <s v="No"/>
    <m/>
  </r>
  <r>
    <s v="00030"/>
    <d v="2025-11-14T00:00:00"/>
    <s v="Cerrada"/>
    <s v="Franco"/>
    <s v="Aprobada"/>
    <m/>
    <m/>
    <m/>
    <m/>
    <x v="3"/>
    <m/>
    <s v="Sistemas"/>
    <s v="Servicios de Apoyo"/>
    <x v="9"/>
    <s v="Pasante"/>
    <s v="Gatica"/>
    <m/>
    <x v="0"/>
    <x v="0"/>
    <m/>
    <m/>
    <m/>
    <s v="Apertura de puesto"/>
    <m/>
    <m/>
    <m/>
    <s v="Inderminado "/>
    <m/>
    <m/>
    <m/>
    <m/>
    <d v="2026-01-05T00:00:00"/>
    <d v="2026-01-19T00:00:00"/>
    <m/>
    <m/>
    <s v="VICENTE D´ANUNZIO"/>
    <m/>
    <m/>
    <m/>
    <m/>
    <s v="4/12 se entrevistan 2 candidatos pero el referente solicita conocer mas candidatos para tomar una decision, 16/12 se conoce un candidato, 18/12 se conoce otro candidato. 22/12 se envia a preoc un candidato"/>
  </r>
  <r>
    <s v="00031"/>
    <d v="2025-11-19T00:00:00"/>
    <s v="Cerrada"/>
    <s v="Ema"/>
    <s v="Aprobada"/>
    <m/>
    <m/>
    <m/>
    <m/>
    <x v="3"/>
    <s v="CIRENDSA"/>
    <s v="Admisión"/>
    <s v="Consultorios Externos"/>
    <x v="3"/>
    <s v="ADMISIONISTA"/>
    <s v="Gomez"/>
    <m/>
    <x v="0"/>
    <x v="0"/>
    <m/>
    <m/>
    <m/>
    <s v="Apertura de puesto"/>
    <m/>
    <s v="5° admin PB Laboratorio"/>
    <m/>
    <s v="Plazo Fijo"/>
    <m/>
    <m/>
    <s v="Lunes a Viernes 8 a 16 hs. Sabado por medio 7 a 15 hs"/>
    <s v="SANATORIO"/>
    <d v="2026-01-15T00:00:00"/>
    <d v="2026-01-23T00:00:00"/>
    <m/>
    <m/>
    <s v="VALENTINA RAMIREZ"/>
    <s v="$1.164.203,77 bruto /        $976.802,50 neto"/>
    <s v="122/75"/>
    <s v="No"/>
    <m/>
    <s v="05-12 Perfil entrevista ok 08-12 se baja del proceso. 11-12 entrevista. Sin exp real en labo. 17-12 1 perfil ok pero vive en Tigre. Evaluando otras opciones"/>
  </r>
  <r>
    <s v="00032"/>
    <d v="2025-11-24T00:00:00"/>
    <s v="Cerrada"/>
    <s v="Franco"/>
    <s v="Aprobada"/>
    <m/>
    <m/>
    <m/>
    <m/>
    <x v="3"/>
    <s v="CIRENDSA"/>
    <s v="Operaciones"/>
    <s v="Servicios de Apoyo"/>
    <x v="4"/>
    <s v="PEON"/>
    <s v="Cordoba"/>
    <m/>
    <x v="0"/>
    <x v="0"/>
    <m/>
    <m/>
    <m/>
    <s v="Reemplazo"/>
    <m/>
    <s v="Vacaciones"/>
    <m/>
    <s v="Eventual "/>
    <m/>
    <m/>
    <s v="ROTATIVO entre 6-14 hs/14-22 hs/22-6 hs segun cronograma"/>
    <s v="SANATORIO"/>
    <d v="2026-01-02T00:00:00"/>
    <d v="2026-01-12T00:00:00"/>
    <m/>
    <m/>
    <s v="MAXIMILIANO GUTIERREZ_x000a_NICOLAS MEDINA        _x000a_LIHUEL RODRIGUEZ"/>
    <s v="$1.000.254,62 bruto / $830.085,50 neto"/>
    <s v="122/75"/>
    <s v="No"/>
    <m/>
    <s v="12/12 6 perfiles citados, asisten 4 y 2 pasan a preo 17/12 asiste uno solo - Entrevista 22/12 // 1 PERFIL APTO 30-12"/>
  </r>
  <r>
    <s v="00033"/>
    <d v="2025-11-25T00:00:00"/>
    <s v="Cerrada"/>
    <s v="Jose"/>
    <s v="Aprobada"/>
    <m/>
    <m/>
    <m/>
    <m/>
    <x v="4"/>
    <s v="Healthnes"/>
    <s v="Gestión del Cambio"/>
    <s v="Administración"/>
    <x v="7"/>
    <s v="Analista de Procesos"/>
    <s v="Rodríguez M"/>
    <m/>
    <x v="0"/>
    <x v="0"/>
    <m/>
    <m/>
    <m/>
    <s v="Apertura de puesto"/>
    <m/>
    <m/>
    <m/>
    <s v="Inderminado "/>
    <m/>
    <m/>
    <s v="L a V 09h a 18h"/>
    <s v="Cramer"/>
    <d v="2026-01-13T00:00:00"/>
    <d v="2026-01-19T00:00:00"/>
    <m/>
    <m/>
    <s v="Romina Cecchin"/>
    <s v="2.500.000 $ NETOS"/>
    <s v="FUCO"/>
    <m/>
    <m/>
    <s v="jueves 11/12 María se reune con Emilio para definir quien avanza, 18/12 Hace psico Romina | 12/01 - 1  candidata en preocupacional, fecha de ingreso (probable) - semana 18/01"/>
  </r>
  <r>
    <s v="00034"/>
    <d v="2025-11-25T00:00:00"/>
    <s v="Cerrada"/>
    <s v="Ema"/>
    <s v="Aprobada"/>
    <m/>
    <m/>
    <m/>
    <m/>
    <x v="7"/>
    <s v="NOBEL"/>
    <s v="Administración y Finanzas"/>
    <s v="Farmacia Lamaité"/>
    <x v="1"/>
    <s v="Supervisor/a de Farmacia"/>
    <s v="Emilio"/>
    <m/>
    <x v="0"/>
    <x v="0"/>
    <m/>
    <m/>
    <m/>
    <s v="Reemplazo"/>
    <m/>
    <s v="Iván Lara"/>
    <m/>
    <s v="Inderminado "/>
    <m/>
    <m/>
    <s v="48 hs semanales de Lunes a Sabado"/>
    <s v="LAMAITE"/>
    <d v="2026-01-13T00:00:00"/>
    <d v="2026-01-19T00:00:00"/>
    <m/>
    <m/>
    <s v="SERGIO BERNIGAUD"/>
    <s v="$2.000.000 neto"/>
    <s v="FUCO"/>
    <s v="Si"/>
    <m/>
    <s v="4/12 Entrevista - 5/12 entrevista - 13/12 entrevista Cecilia - 16/12 2 entrevistas - 18/12 entrevista Sergio + 1 perfil consultora conocido 19/12 - 23/12 entrevista Sergio"/>
  </r>
  <r>
    <s v="00035"/>
    <d v="2025-11-25T00:00:00"/>
    <s v="Cerrada"/>
    <s v="Fer"/>
    <s v="Aprobada"/>
    <m/>
    <m/>
    <m/>
    <m/>
    <x v="4"/>
    <s v="Healtnes"/>
    <s v="Contact Center"/>
    <s v="Servicios de Apoyo"/>
    <x v="1"/>
    <s v="Coordinador/a de Contac Center"/>
    <s v="Nahir"/>
    <m/>
    <x v="0"/>
    <x v="0"/>
    <m/>
    <m/>
    <m/>
    <s v="Reemplazo"/>
    <m/>
    <s v="Agostina Zowkoski"/>
    <m/>
    <s v="Inderminado "/>
    <m/>
    <m/>
    <s v="Lunes a Viernes de 8 a 5hs"/>
    <s v="Maure"/>
    <d v="2026-01-06T00:00:00"/>
    <d v="2026-01-19T00:00:00"/>
    <m/>
    <m/>
    <s v="Agustina Campos"/>
    <s v="$2200000 neto"/>
    <s v="FUCO"/>
    <s v="Si"/>
    <s v="No"/>
    <s v="Se envió 12-12 2 perfiles para entrevista técnica, se entrevisto 17-12 Agustina Campos, pasa a psico el 19-12, se suien evalaundo candidatos"/>
  </r>
  <r>
    <s v="00036"/>
    <d v="2025-11-26T00:00:00"/>
    <s v="Cerrada"/>
    <s v="Ema"/>
    <s v="Aprobada"/>
    <m/>
    <m/>
    <m/>
    <m/>
    <x v="3"/>
    <m/>
    <s v="Enfermeria"/>
    <s v="Internación"/>
    <x v="6"/>
    <s v="Enfermero/a de Quimio"/>
    <s v="Alvez"/>
    <m/>
    <x v="0"/>
    <x v="0"/>
    <m/>
    <m/>
    <m/>
    <s v="Reemplazo"/>
    <m/>
    <s v="Mazars "/>
    <m/>
    <s v="Inderminado "/>
    <m/>
    <m/>
    <m/>
    <m/>
    <m/>
    <d v="2026-02-23T00:00:00"/>
    <m/>
    <m/>
    <s v="YAEL "/>
    <m/>
    <m/>
    <m/>
    <m/>
    <s v="L-V 12 a 18h / Pase interno de Piñeiro Y."/>
  </r>
  <r>
    <s v="00037"/>
    <d v="2025-11-30T00:00:00"/>
    <s v="Cerrada"/>
    <s v="Ema"/>
    <s v="Aprobada"/>
    <m/>
    <m/>
    <m/>
    <m/>
    <x v="3"/>
    <s v="CIRENDSA"/>
    <s v="Cirugía"/>
    <s v="Quirófano"/>
    <x v="5"/>
    <s v="INSTRUMENTADOR/A"/>
    <s v="Di Franco"/>
    <m/>
    <x v="0"/>
    <x v="0"/>
    <m/>
    <m/>
    <m/>
    <s v="Reemplazo"/>
    <m/>
    <s v="Otero R"/>
    <m/>
    <s v="Plazo Fijo"/>
    <m/>
    <m/>
    <s v="Lunes a Sabados 14 a 22 hs. Feriado rotativo"/>
    <s v="SANATORIO"/>
    <d v="2026-01-05T00:00:00"/>
    <d v="2026-01-19T00:00:00"/>
    <m/>
    <m/>
    <s v="AYELEN CARRUBBA"/>
    <s v="$1.478.071,38  bruto /       $1.230.851,50 neto"/>
    <s v="122/75"/>
    <s v="No"/>
    <m/>
    <s v="18-12 entrevistas 19-12 Entrevista Ale. Agendando preocupacional 23-12"/>
  </r>
  <r>
    <s v="00038"/>
    <d v="2025-12-03T00:00:00"/>
    <s v="Cerrada"/>
    <s v="Fer"/>
    <s v="Aprobada"/>
    <m/>
    <m/>
    <m/>
    <m/>
    <x v="4"/>
    <s v="Cober"/>
    <s v="Gestión de las Personas"/>
    <s v="Administración y Finanzas"/>
    <x v="1"/>
    <s v="Coordinador/a de atracción de talento"/>
    <s v="Daniela"/>
    <m/>
    <x v="0"/>
    <x v="0"/>
    <m/>
    <m/>
    <m/>
    <s v="Reemplazo"/>
    <m/>
    <s v="Alejandro Alzate"/>
    <m/>
    <s v="Inderminado "/>
    <m/>
    <m/>
    <s v="Lunes a viernes de 8 a 17hs"/>
    <s v="La Musa"/>
    <d v="2025-12-29T00:00:00"/>
    <d v="2026-01-05T00:00:00"/>
    <m/>
    <m/>
    <s v="Juan Pablo Sanchez"/>
    <s v="2800000 bruto"/>
    <s v="FUCO"/>
    <s v="Si"/>
    <m/>
    <m/>
  </r>
  <r>
    <s v="00039"/>
    <d v="2025-12-03T00:00:00"/>
    <s v="Cerrada"/>
    <s v="Franco"/>
    <s v="Aprobada"/>
    <m/>
    <m/>
    <m/>
    <m/>
    <x v="0"/>
    <s v="Cobensil"/>
    <s v="Cobranzas"/>
    <s v="Administración y Finanzas"/>
    <x v="0"/>
    <s v="Cobrador/a"/>
    <s v="Florencia Rodriguez"/>
    <m/>
    <x v="0"/>
    <x v="0"/>
    <m/>
    <m/>
    <m/>
    <s v="Reemplazo"/>
    <m/>
    <s v="Milenka Barsallo"/>
    <m/>
    <s v="Inderminado "/>
    <m/>
    <m/>
    <s v="Lunes a Viernes de 11 a 20hs. (Full time)"/>
    <s v="Ravignani"/>
    <d v="2025-12-29T00:00:00"/>
    <d v="2026-01-06T00:00:00"/>
    <m/>
    <m/>
    <s v="Romina Llanos"/>
    <s v="$1.264.540,33 bruto / $1.033.022,00 neto"/>
    <s v="130/75"/>
    <s v="No"/>
    <s v="No"/>
    <s v="12/12 - Se conocen 3 candidatos, se avanzan con los 3 a preoc."/>
  </r>
  <r>
    <s v="00040"/>
    <d v="2025-12-09T00:00:00"/>
    <s v="Cerrada"/>
    <s v="Ema"/>
    <s v="Aprobada"/>
    <m/>
    <m/>
    <m/>
    <m/>
    <x v="3"/>
    <s v="CIRENDSA"/>
    <s v="Cirugía"/>
    <s v="Quirófano"/>
    <x v="5"/>
    <s v="INSTRUMENTADOR/A"/>
    <s v="Di Franco"/>
    <m/>
    <x v="0"/>
    <x v="0"/>
    <m/>
    <m/>
    <m/>
    <s v="Reemplazo"/>
    <m/>
    <s v="Suarez C"/>
    <m/>
    <s v="Eventual "/>
    <m/>
    <m/>
    <s v="Lunes a Sábados 15 a 23 hs. Feriados rotativos."/>
    <s v="SANATORIO"/>
    <d v="2026-01-05T00:00:00"/>
    <d v="2026-01-12T00:00:00"/>
    <m/>
    <m/>
    <s v="YEISON TEJADA"/>
    <s v="$1.478.071,38  bruto        $1.230.851,50 neto"/>
    <s v="122/75"/>
    <s v="No"/>
    <m/>
    <m/>
  </r>
  <r>
    <s v="00041"/>
    <d v="2025-12-09T00:00:00"/>
    <s v="Cerrada"/>
    <s v="Franco"/>
    <s v="Aprobada"/>
    <m/>
    <s v="No"/>
    <m/>
    <m/>
    <x v="0"/>
    <s v="Cobensil SA"/>
    <s v="Ventas Retail"/>
    <s v="Comercial"/>
    <x v="0"/>
    <s v="VENDEDOR/A"/>
    <s v="Serafin"/>
    <m/>
    <x v="0"/>
    <x v="0"/>
    <m/>
    <m/>
    <m/>
    <s v="Reemplazo"/>
    <m/>
    <s v="REA, ALEX JUAN ARIEL"/>
    <m/>
    <s v="Inderminado "/>
    <m/>
    <m/>
    <s v="Lunes a Viernes de 10 a 18hs"/>
    <s v="Sede de Vicente Lopez (Av. Maipu 1680) "/>
    <d v="2026-01-22T00:00:00"/>
    <d v="2026-02-03T00:00:00"/>
    <m/>
    <m/>
    <s v="Adrian Torosantucci"/>
    <s v="$1.271.329,36 bruto /  $1.036.688,00 neto"/>
    <s v="130/75"/>
    <s v="No"/>
    <s v="No"/>
    <m/>
  </r>
  <r>
    <s v="00042"/>
    <d v="2025-12-09T00:00:00"/>
    <s v="Cerrada"/>
    <s v="Ema"/>
    <s v="Aprobada"/>
    <m/>
    <m/>
    <m/>
    <m/>
    <x v="3"/>
    <s v="CIRENDSA"/>
    <s v="Hotelería"/>
    <s v="Internación"/>
    <x v="4"/>
    <s v="MUCAMO/A"/>
    <s v="Valeria Dodero"/>
    <m/>
    <x v="0"/>
    <x v="0"/>
    <m/>
    <m/>
    <m/>
    <s v="Reemplazo"/>
    <m/>
    <s v="Amarilla R"/>
    <m/>
    <s v="Eventual "/>
    <m/>
    <m/>
    <s v="14-22"/>
    <s v="SANATORIO"/>
    <d v="2026-01-06T00:00:00"/>
    <d v="2026-01-19T00:00:00"/>
    <m/>
    <m/>
    <s v="MARISA MARQUEZ"/>
    <s v="$1.000.154,62  BRUTO /       $830.004,50 NETO"/>
    <s v="122/75"/>
    <s v="No"/>
    <m/>
    <s v="17-12 entrevista 23-12 preoc // No firmó Anahi Gonzalez 6-1"/>
  </r>
  <r>
    <s v="00043"/>
    <d v="2025-12-09T00:00:00"/>
    <s v="Cerrada"/>
    <s v="Ema"/>
    <s v="Aprobada"/>
    <m/>
    <m/>
    <m/>
    <m/>
    <x v="3"/>
    <s v="CIRENDSA"/>
    <s v="Cirugía"/>
    <s v="Quirófano"/>
    <x v="5"/>
    <s v="INSTRUMENTADOR/A"/>
    <s v="Di Franco"/>
    <m/>
    <x v="0"/>
    <x v="0"/>
    <m/>
    <m/>
    <m/>
    <s v="Reemplazo"/>
    <m/>
    <s v="Karen G"/>
    <m/>
    <s v="Plazo Fijo"/>
    <m/>
    <m/>
    <s v="Lunes a Sábados 14 a 22 hs. Feriados rotativos."/>
    <s v="SANATORIO"/>
    <d v="2026-01-05T00:00:00"/>
    <d v="2026-01-12T00:00:00"/>
    <m/>
    <m/>
    <s v="CAROLINA CAMPOS"/>
    <s v="$1.478.071,38 bruto /         $1.230.851,50 neto"/>
    <s v="122/75"/>
    <s v="No"/>
    <m/>
    <s v="18/12  entrevista"/>
  </r>
  <r>
    <s v="00044"/>
    <d v="2025-12-11T00:00:00"/>
    <s v="Cerrada"/>
    <s v="Fer"/>
    <s v="Aprobada"/>
    <m/>
    <m/>
    <m/>
    <m/>
    <x v="4"/>
    <s v="Healtnes"/>
    <s v="Mantenimiento"/>
    <s v="Servicios de Apoyo"/>
    <x v="8"/>
    <s v="ARQUITECTO/A"/>
    <s v="Emilio"/>
    <m/>
    <x v="0"/>
    <x v="0"/>
    <m/>
    <m/>
    <m/>
    <s v="Reemplazo"/>
    <m/>
    <s v="Nestor Toledo"/>
    <m/>
    <s v="Inderminado "/>
    <m/>
    <m/>
    <s v="a coordinar"/>
    <s v="Cramer"/>
    <d v="2026-02-09T00:00:00"/>
    <d v="2026-02-18T00:00:00"/>
    <m/>
    <m/>
    <s v="Luciana Bruno"/>
    <s v="$3000000 bruto"/>
    <s v="FUCO"/>
    <s v="Si"/>
    <s v="No"/>
    <s v="se publica ne linkedin 18-12, 30-12 se entrevistaron 2 perfiles, se pasa a Dani para 2da instancia Cecilia Ibarola y Luciana Bruno | 12/01 - pidiendo referencias. Pasa Luciana a preocupacional el 27-01"/>
  </r>
  <r>
    <s v="00045"/>
    <d v="2025-12-13T00:00:00"/>
    <s v="Cerrada"/>
    <s v="Ema"/>
    <s v="Aprobada"/>
    <m/>
    <m/>
    <m/>
    <m/>
    <x v="3"/>
    <s v="CIRENDSA"/>
    <s v="Enfermeria"/>
    <s v="Terapia Intensiva"/>
    <x v="6"/>
    <s v="Enfermero/a de Terapia Intensiva"/>
    <s v="Alvez"/>
    <m/>
    <x v="0"/>
    <x v="0"/>
    <m/>
    <m/>
    <m/>
    <s v="Reemplazo"/>
    <m/>
    <s v="Pistan D"/>
    <m/>
    <s v="Eventual "/>
    <m/>
    <m/>
    <s v="14 A 22 HS por vacaciones"/>
    <s v="SANATORIO"/>
    <d v="2026-01-27T00:00:00"/>
    <d v="2026-02-02T00:00:00"/>
    <m/>
    <m/>
    <s v="FISDERI VASQUEZ"/>
    <s v="$1.444.204,15 bruto /        $1.205.247,26 neto"/>
    <s v="122/75"/>
    <s v="No"/>
    <m/>
    <s v="Agendando una nueva entrevista"/>
  </r>
  <r>
    <s v="00046"/>
    <d v="2025-12-13T00:00:00"/>
    <s v="Cerrada"/>
    <s v="Ema"/>
    <s v="Aprobada"/>
    <m/>
    <m/>
    <m/>
    <m/>
    <x v="3"/>
    <s v="CIRENDSA"/>
    <s v="Enfermeria"/>
    <s v="Terapia Intensiva"/>
    <x v="6"/>
    <s v="Enfermero/a de Terapia Intensiva"/>
    <s v="Alvez"/>
    <m/>
    <x v="0"/>
    <x v="0"/>
    <m/>
    <m/>
    <m/>
    <s v="Reemplazo"/>
    <m/>
    <s v="Loza J"/>
    <m/>
    <s v="Eventual "/>
    <m/>
    <m/>
    <s v="14 A 22 HS por vacaciones"/>
    <s v="SANATORIO"/>
    <d v="2026-01-27T00:00:00"/>
    <d v="2026-02-02T00:00:00"/>
    <m/>
    <m/>
    <s v="GERALDINE CASTRO"/>
    <s v="$1.444.204,15 bruto /        $1.205.247,26 neto"/>
    <s v="122/75"/>
    <s v="No"/>
    <m/>
    <s v="Agendando una nueva entrevista"/>
  </r>
  <r>
    <s v="00047"/>
    <d v="2025-12-15T00:00:00"/>
    <s v="Cerrada"/>
    <s v="Franco"/>
    <s v="Aprobada"/>
    <m/>
    <m/>
    <m/>
    <m/>
    <x v="3"/>
    <s v="CIRENDSA"/>
    <s v="Mantenimiento"/>
    <s v="Servicios de Apoyo"/>
    <x v="10"/>
    <s v="OFICIAL DE MANTENIMIENTO"/>
    <s v="Erika"/>
    <m/>
    <x v="0"/>
    <x v="0"/>
    <m/>
    <m/>
    <m/>
    <s v="Reemplazo"/>
    <m/>
    <s v="ROMIG, JAVIER ALEJANDRO        "/>
    <m/>
    <s v="Plazo Fijo"/>
    <m/>
    <m/>
    <s v="Lunes a Sabados de 6 a 14hs"/>
    <s v="SANATORIO"/>
    <d v="2025-12-29T00:00:00"/>
    <d v="2026-01-12T00:00:00"/>
    <m/>
    <m/>
    <s v="Sergio Leguizamon"/>
    <s v="$1.169.901,95 bruto / $966.949,00 neto"/>
    <s v="122/75"/>
    <s v="No"/>
    <s v="No"/>
    <s v="18/12 Entrevista en conjunto con Erika, se conocen 3 candidatos, avanzan 2 a preoc."/>
  </r>
  <r>
    <s v="00048"/>
    <d v="2025-12-15T00:00:00"/>
    <s v="Cerrada"/>
    <s v="Franco"/>
    <s v="Aprobada"/>
    <m/>
    <m/>
    <m/>
    <m/>
    <x v="3"/>
    <s v="CIRENDSA"/>
    <s v="Mantenimiento"/>
    <s v="Servicios de Apoyo"/>
    <x v="10"/>
    <s v="OFICIAL DE MANTENIMIENTO"/>
    <s v="Erika"/>
    <m/>
    <x v="0"/>
    <x v="0"/>
    <m/>
    <m/>
    <m/>
    <s v="Reemplazo"/>
    <m/>
    <m/>
    <m/>
    <s v="Plazo Fijo"/>
    <m/>
    <m/>
    <s v="Lunes a Sabados de 6 a 14hs"/>
    <s v="SANATORIO"/>
    <d v="2026-01-06T00:00:00"/>
    <d v="2026-01-12T00:00:00"/>
    <m/>
    <m/>
    <s v="Braian Miguel Rojas"/>
    <s v="$1.169.901,95 bruto / $966.949,00 neto"/>
    <s v="122/75"/>
    <s v="No"/>
    <s v="No"/>
    <s v="18/12 Entrevista en conjunto con Erika, se conocen 3 candidatos, avanzan 2 a preoc. / inicialmente la búsqueda se genera por Gustavo Razzetto , ingresa Brian Miguel quién renuncia a los 2 días ."/>
  </r>
  <r>
    <s v="00049"/>
    <d v="2025-12-16T00:00:00"/>
    <s v="Cerrada"/>
    <s v="Ema"/>
    <s v="Aprobada"/>
    <m/>
    <m/>
    <m/>
    <m/>
    <x v="3"/>
    <s v="CIRENDSA"/>
    <s v="Enfermeria"/>
    <s v="Terapia Intensiva"/>
    <x v="6"/>
    <s v="Enfermero/a de Terapia Intensiva"/>
    <s v="Alvez"/>
    <m/>
    <x v="0"/>
    <x v="0"/>
    <m/>
    <s v="Baja"/>
    <s v="Media"/>
    <s v="Reemplazo"/>
    <m/>
    <s v="Roque J"/>
    <m/>
    <s v="Inderminado "/>
    <m/>
    <m/>
    <s v="14-22"/>
    <s v="SANATORIO"/>
    <d v="2026-03-11T00:00:00"/>
    <d v="2026-03-23T00:00:00"/>
    <m/>
    <m/>
    <s v="WENDY ASTORGA"/>
    <s v=" $1.444.204,15 bruto /_x0009_ $1.205.247,26 neto"/>
    <s v="122/75"/>
    <s v="No"/>
    <s v="No"/>
    <m/>
  </r>
  <r>
    <s v="00050"/>
    <d v="2025-12-18T00:00:00"/>
    <s v="Cerrada"/>
    <s v="Ema"/>
    <s v="Aprobada"/>
    <m/>
    <m/>
    <m/>
    <m/>
    <x v="3"/>
    <s v="CIRENDSA"/>
    <s v="Hotelería"/>
    <s v="Internación"/>
    <x v="4"/>
    <s v="MUCAMO/A"/>
    <s v="Valeria Dodero"/>
    <m/>
    <x v="0"/>
    <x v="0"/>
    <m/>
    <m/>
    <m/>
    <s v="Reemplazo"/>
    <m/>
    <s v="Segovia M"/>
    <m/>
    <s v="Plazo Fijo"/>
    <m/>
    <m/>
    <s v="14-22"/>
    <s v="SANATORIO"/>
    <d v="2026-01-05T00:00:00"/>
    <d v="2026-01-06T00:00:00"/>
    <m/>
    <m/>
    <s v="NILDA SANTACRUZ"/>
    <s v="$1.000.154,62  BRUTO /  $830.004,50 NETO"/>
    <s v="122/75"/>
    <s v="No"/>
    <m/>
    <s v="17-12 entrevista 23-12 preoc"/>
  </r>
  <r>
    <s v="00051"/>
    <d v="2025-12-18T00:00:00"/>
    <s v="Cerrada"/>
    <s v="Ema"/>
    <s v="Aprobada"/>
    <m/>
    <m/>
    <m/>
    <m/>
    <x v="3"/>
    <s v="CIRENDSA"/>
    <s v="Hotelería"/>
    <s v="Internación"/>
    <x v="4"/>
    <s v="MUCAMO/A"/>
    <s v="Valeria Dodero"/>
    <m/>
    <x v="0"/>
    <x v="0"/>
    <m/>
    <m/>
    <m/>
    <s v="Reemplazo"/>
    <m/>
    <s v="Ledesma M"/>
    <m/>
    <s v="Plazo Fijo"/>
    <m/>
    <m/>
    <s v="14-22"/>
    <s v="SANATORIO"/>
    <d v="2026-01-05T00:00:00"/>
    <d v="2026-01-06T00:00:00"/>
    <m/>
    <m/>
    <s v="ANA ODRIOZOLA"/>
    <s v="$1.000.154,62  BRUTO /  $830.004,50 NETO"/>
    <s v="122/75"/>
    <s v="No"/>
    <m/>
    <s v="17-12 entrevista 23-12 preoc"/>
  </r>
  <r>
    <s v="00052"/>
    <d v="2025-12-19T00:00:00"/>
    <s v="Cerrada"/>
    <s v="Ema"/>
    <s v="Aprobada"/>
    <m/>
    <m/>
    <m/>
    <m/>
    <x v="3"/>
    <s v="CIRENDSA"/>
    <s v="Enfermeria"/>
    <s v="Internación"/>
    <x v="6"/>
    <s v="Enfermero/a de Internación"/>
    <s v="Alvez"/>
    <m/>
    <x v="0"/>
    <x v="0"/>
    <m/>
    <m/>
    <m/>
    <s v="Reemplazo"/>
    <m/>
    <s v="Lic prolongada Montaño K"/>
    <m/>
    <s v="Eventual "/>
    <m/>
    <m/>
    <s v="14 A 22 HS por cobertura licencia 129016 HERBAS BELEN                "/>
    <s v="SANATORIO"/>
    <d v="2026-01-15T00:00:00"/>
    <d v="2026-02-02T00:00:00"/>
    <m/>
    <m/>
    <s v="BRIGHIT FLORES"/>
    <s v="$1.223.571,44 bruto /         $1.024.328,50 neto"/>
    <s v="122/75"/>
    <s v="No"/>
    <m/>
    <m/>
  </r>
  <r>
    <s v="00053"/>
    <d v="2025-12-20T00:00:00"/>
    <s v="Cerrada"/>
    <s v="Franco"/>
    <s v="Aprobada"/>
    <m/>
    <m/>
    <m/>
    <m/>
    <x v="3"/>
    <s v="Desarrollos en salud"/>
    <s v="Obras"/>
    <s v="Servicios de Apoyo"/>
    <x v="10"/>
    <s v="Albañil"/>
    <s v="Tejedor"/>
    <m/>
    <x v="0"/>
    <x v="0"/>
    <m/>
    <m/>
    <m/>
    <s v="Reemplazo"/>
    <m/>
    <s v="162934 - Duarte Oscar"/>
    <m/>
    <s v="Inderminado "/>
    <m/>
    <m/>
    <s v="Lunes a viernes de 8 a 17hs"/>
    <s v="SANATORIO"/>
    <d v="2026-01-08T00:00:00"/>
    <d v="2026-01-19T00:00:00"/>
    <m/>
    <m/>
    <s v="Cristian Aguilar"/>
    <s v=" $1.169.647,23 bruto / $979.266,50 neto"/>
    <s v="122/75"/>
    <s v="No"/>
    <s v="No"/>
    <s v="Entrevista 29/12, se envian a preoc a 2 candidatos"/>
  </r>
  <r>
    <s v="00054"/>
    <d v="2025-12-20T00:00:00"/>
    <s v="Cerrada"/>
    <s v="Ema"/>
    <s v="Aprobada"/>
    <m/>
    <m/>
    <m/>
    <m/>
    <x v="3"/>
    <s v="CIRENDSA"/>
    <s v="Enfermeria"/>
    <s v="Internación"/>
    <x v="6"/>
    <s v="Enfermero/a de Internación"/>
    <s v="Alvez"/>
    <m/>
    <x v="0"/>
    <x v="0"/>
    <m/>
    <m/>
    <m/>
    <s v="Reemplazo"/>
    <m/>
    <s v="Lic prolongada HerBas B"/>
    <m/>
    <s v="Eventual "/>
    <m/>
    <m/>
    <s v="14 A 22 HS por cobertura licencia 130805 MONTAÑO KAREN                "/>
    <s v="SANATORIO"/>
    <d v="2026-01-15T00:00:00"/>
    <d v="2026-02-02T00:00:00"/>
    <m/>
    <m/>
    <s v="MARIANA CRISTALDO"/>
    <s v="$1.223.571,44 bruto /         $1.024.328,50 neto"/>
    <s v="122/75"/>
    <s v="No"/>
    <m/>
    <m/>
  </r>
  <r>
    <s v="00055"/>
    <d v="2025-12-22T00:00:00"/>
    <s v="Cerrada"/>
    <s v="Ema"/>
    <s v="Aprobada"/>
    <m/>
    <m/>
    <m/>
    <m/>
    <x v="3"/>
    <s v="CIRENDSA"/>
    <s v="Enfermeria"/>
    <s v="Terapia Intensiva"/>
    <x v="6"/>
    <s v="Enfermero/a de Terapia Intensiva"/>
    <s v="Alvez"/>
    <m/>
    <x v="0"/>
    <x v="0"/>
    <m/>
    <m/>
    <m/>
    <s v="Reemplazo"/>
    <m/>
    <s v="Vuelta Castellon Bassa a CM"/>
    <m/>
    <s v="Plazo Fijo"/>
    <m/>
    <m/>
    <s v="22 A 6 HS"/>
    <s v="SANATORIO"/>
    <d v="2026-02-19T00:00:00"/>
    <d v="2026-02-23T00:00:00"/>
    <m/>
    <m/>
    <s v="MARCOS IBARRA"/>
    <s v="$1.554.520,85 bruto /         $1.295.707,00 neto"/>
    <s v="122/75"/>
    <s v="No"/>
    <m/>
    <s v="CC TN"/>
  </r>
  <r>
    <s v="00056"/>
    <d v="2025-12-22T00:00:00"/>
    <s v="Cerrada"/>
    <s v="Ema"/>
    <s v="Aprobada"/>
    <m/>
    <m/>
    <m/>
    <m/>
    <x v="3"/>
    <s v="CIRENDSA"/>
    <s v="Enfermeria"/>
    <s v="Quirófano"/>
    <x v="6"/>
    <s v="Enfermero/a de Endoscopia"/>
    <s v="Alvez"/>
    <m/>
    <x v="0"/>
    <x v="0"/>
    <m/>
    <m/>
    <m/>
    <s v="Reemplazo"/>
    <m/>
    <s v="Piñeiro Y"/>
    <m/>
    <s v="Eventual "/>
    <m/>
    <m/>
    <s v="Lunes a Sábados 15 a 23 hs. Feriados a coordinar."/>
    <s v="SANATORIO"/>
    <d v="2026-01-27T00:00:00"/>
    <d v="2026-02-02T00:00:00"/>
    <m/>
    <m/>
    <s v="JUDITH CHAPOÑAN "/>
    <s v="$1.481.645,21 bruto /        $1.235.949,00 neto"/>
    <s v="122/75"/>
    <s v="No"/>
    <m/>
    <m/>
  </r>
  <r>
    <s v="00057"/>
    <d v="2025-12-22T00:00:00"/>
    <s v="Cerrada"/>
    <s v="Franco"/>
    <s v="Aprobada"/>
    <m/>
    <s v="No"/>
    <m/>
    <m/>
    <x v="0"/>
    <s v="Cobensil SA"/>
    <s v="Ventas Retail"/>
    <s v="Comercial"/>
    <x v="0"/>
    <s v="VENDEDOR/A"/>
    <s v="Serafin"/>
    <m/>
    <x v="0"/>
    <x v="0"/>
    <m/>
    <m/>
    <m/>
    <s v="Reemplazo"/>
    <m/>
    <s v="CASTRO, SANDRA FLORENCIA"/>
    <m/>
    <s v="Inderminado "/>
    <m/>
    <m/>
    <s v="Lunes a Viernes de 10 a 18hs"/>
    <s v="Sede Colegiales (Lacroze 3257)"/>
    <d v="2026-01-22T00:00:00"/>
    <d v="2026-02-03T00:00:00"/>
    <m/>
    <m/>
    <s v="Virginia Ivon Romero"/>
    <s v="$1.271.329,36 bruto /  $1.036.688,00 neto"/>
    <s v="130/75"/>
    <s v="No"/>
    <s v="No"/>
    <m/>
  </r>
  <r>
    <s v="00058"/>
    <d v="2025-12-22T00:00:00"/>
    <s v="Cerrada"/>
    <s v="Juanpi"/>
    <s v="Aprobada"/>
    <m/>
    <s v="No"/>
    <s v="No"/>
    <m/>
    <x v="0"/>
    <s v="Cobensil SA"/>
    <s v="Business Inteligence"/>
    <s v="Administración"/>
    <x v="11"/>
    <s v="Analista Business Analytics"/>
    <s v="Ignacio Jaregui"/>
    <m/>
    <x v="0"/>
    <x v="0"/>
    <m/>
    <s v="Alta"/>
    <s v="Alta "/>
    <s v="Reemplazo"/>
    <m/>
    <s v="Leandro Carbo"/>
    <m/>
    <s v="Indeterminado "/>
    <m/>
    <m/>
    <s v="Lunes a Viernes de  8 a 17hs / 9 a 18 hs"/>
    <s v="Ravignani"/>
    <d v="2026-04-08T00:00:00"/>
    <d v="2026-04-20T00:00:00"/>
    <s v="Externa"/>
    <s v="Consultora"/>
    <s v="Rafael Valera"/>
    <s v="$2,800,000 ( Netos )"/>
    <s v="FUCO"/>
    <s v="Si"/>
    <s v="No"/>
    <s v="18-12 se estan validando perfiles, se envio a Nacho 16-12 un perfil entrevistará CArbo en 2da fase 22-12, se ajusta a analista el 17-12, la candidatsa Raineth no cum'ple con el perfil técnico, se continua la busqueda. Se presentaron dos perfiles a Carbó Gianluca Mazzocchi y LAura ambos pasan a netrevista con Nacho, el luens 12 se envía resumen. Pasa a nueva fase con entrevistas validación tecnica con Paula Bria, con Raineth, Gianlucca, Adriel, Catriel 19-01. Pasa a preo Gianluca el martes 24-02."/>
  </r>
  <r>
    <s v="00059"/>
    <d v="2025-12-23T00:00:00"/>
    <s v="Cerrada"/>
    <s v="Ema"/>
    <s v="Aprobada"/>
    <m/>
    <m/>
    <m/>
    <m/>
    <x v="3"/>
    <s v="CIRENDSA"/>
    <s v="Hotelería"/>
    <s v="Internación"/>
    <x v="4"/>
    <s v="MUCAMO/A"/>
    <s v="Valeria Dodero"/>
    <m/>
    <x v="0"/>
    <x v="0"/>
    <m/>
    <m/>
    <m/>
    <s v="Reemplazo"/>
    <m/>
    <s v="Monteros C"/>
    <m/>
    <s v="Plazo Fijo"/>
    <m/>
    <m/>
    <s v="14-22"/>
    <s v="SANATORIO"/>
    <d v="2026-01-15T00:00:00"/>
    <d v="2026-01-23T00:00:00"/>
    <m/>
    <m/>
    <s v="JESICA SORIA"/>
    <s v="$1.052.963,43  bruto /       $875.067,00 neto"/>
    <s v="122/75"/>
    <s v="No"/>
    <m/>
    <m/>
  </r>
  <r>
    <s v="00060"/>
    <d v="2025-12-26T00:00:00"/>
    <s v="Cerrada"/>
    <s v="Ema"/>
    <s v="Aprobada"/>
    <m/>
    <m/>
    <m/>
    <m/>
    <x v="3"/>
    <s v="CIRENDSA"/>
    <s v="Enfermeria"/>
    <s v="Servicios de Apoyo"/>
    <x v="4"/>
    <s v="CAMILLERO/A"/>
    <s v="Alvez"/>
    <m/>
    <x v="0"/>
    <x v="0"/>
    <m/>
    <m/>
    <m/>
    <s v="Reemplazo"/>
    <m/>
    <s v="Busilachi J"/>
    <m/>
    <s v="Eventual "/>
    <m/>
    <m/>
    <s v="ROTATIVO entre los turnos 6-14 hs, 14-22 hs, 22-6 hs según cronograma"/>
    <s v="SANATORIO"/>
    <d v="2025-12-30T00:00:00"/>
    <d v="2026-01-06T00:00:00"/>
    <m/>
    <m/>
    <s v="ALEXIS CARDOSO"/>
    <s v="$1.079.520,88  bruto / $906.107,00 neto"/>
    <s v="122/75"/>
    <s v="No"/>
    <m/>
    <s v="15-12 entrevista / 19-12 preo"/>
  </r>
  <r>
    <s v="00061"/>
    <d v="2025-12-26T00:00:00"/>
    <s v="Cerrada"/>
    <s v="Ema"/>
    <s v="Aprobada"/>
    <m/>
    <m/>
    <m/>
    <m/>
    <x v="3"/>
    <s v="CIRENDSA"/>
    <s v="Enfermeria"/>
    <s v="Servicios de Apoyo"/>
    <x v="4"/>
    <s v="CAMILLERO/A"/>
    <s v="Alvez"/>
    <m/>
    <x v="0"/>
    <x v="0"/>
    <m/>
    <m/>
    <m/>
    <s v="Reemplazo"/>
    <m/>
    <s v="Paz S"/>
    <m/>
    <s v="Plazo Fijo"/>
    <m/>
    <m/>
    <s v="14-22 hs - 1 franco semanal a definir en el área."/>
    <s v="SANATORIO"/>
    <d v="2026-01-13T00:00:00"/>
    <d v="2026-01-19T00:00:00"/>
    <m/>
    <m/>
    <s v="ORTEGA JOHN "/>
    <s v="$1.195.063,16 bruto /        $1.000.952,00 neto"/>
    <s v="122/75"/>
    <s v="No"/>
    <m/>
    <s v="16-12 entrevista / 19-12 preoc / 30-12 no apto por labo, se retoma"/>
  </r>
  <r>
    <s v="00062"/>
    <d v="2025-12-26T00:00:00"/>
    <s v="Cerrada"/>
    <s v="Ema"/>
    <s v="Aprobada"/>
    <m/>
    <m/>
    <m/>
    <m/>
    <x v="3"/>
    <s v="CIRENDSA"/>
    <s v="Hotelería"/>
    <s v="Internación"/>
    <x v="4"/>
    <s v="MUCAMO/A"/>
    <s v="Valeria Dodero"/>
    <m/>
    <x v="0"/>
    <x v="0"/>
    <m/>
    <m/>
    <m/>
    <s v="Reemplazo"/>
    <m/>
    <s v="Avellaneda Y"/>
    <m/>
    <s v="Plazo Fijo"/>
    <m/>
    <m/>
    <s v="14-22"/>
    <s v="SANATORIO"/>
    <d v="2026-01-06T00:00:00"/>
    <d v="2026-01-19T00:00:00"/>
    <m/>
    <m/>
    <s v="JORGELINA FLORES"/>
    <s v="$1.000.154,62  BRUTO /       $830.004,50 NETO"/>
    <s v="122/75"/>
    <s v="No"/>
    <m/>
    <s v="17-12 entrevista 23-12 preoc"/>
  </r>
  <r>
    <s v="00063"/>
    <d v="2025-12-26T00:00:00"/>
    <s v="Cerrada"/>
    <s v="Ema"/>
    <s v="Aprobada"/>
    <m/>
    <m/>
    <m/>
    <m/>
    <x v="3"/>
    <s v="CIRENDSA"/>
    <s v="Admisión"/>
    <s v="Consultorios Externos"/>
    <x v="3"/>
    <s v="ADMISIONISTA"/>
    <s v="Gomez"/>
    <m/>
    <x v="0"/>
    <x v="0"/>
    <m/>
    <m/>
    <m/>
    <s v="Reemplazo"/>
    <m/>
    <s v="Montero M"/>
    <m/>
    <s v="Plazo Fijo"/>
    <m/>
    <m/>
    <s v="Lunes a Viernes 14 a 20 hs, Sábado por medio 7 a 13 hs"/>
    <s v="SANATORIO"/>
    <d v="2026-01-05T00:00:00"/>
    <d v="2026-01-12T00:00:00"/>
    <m/>
    <m/>
    <s v="AGUSTINA GIURICH"/>
    <s v="$801.551,37 bruto /        $662.168,00 neto"/>
    <s v="122/75"/>
    <s v="No"/>
    <m/>
    <s v="17-12 entrevista 19-12 preoc"/>
  </r>
  <r>
    <s v="00064"/>
    <d v="2025-12-26T00:00:00"/>
    <s v="Cerrada"/>
    <s v="Ema"/>
    <s v="Aprobada"/>
    <m/>
    <m/>
    <m/>
    <m/>
    <x v="3"/>
    <s v="CIRENDSA"/>
    <s v="Admisión"/>
    <s v="Consultorios Externos"/>
    <x v="3"/>
    <s v="ADMISIONISTA"/>
    <s v="Gomez"/>
    <m/>
    <x v="0"/>
    <x v="0"/>
    <m/>
    <m/>
    <m/>
    <s v="Reemplazo"/>
    <m/>
    <s v="Lanza Z"/>
    <m/>
    <s v="Plazo Fijo"/>
    <m/>
    <m/>
    <s v="Lunes a Viernes 14 a 20 hs, Sábado por medio 7 a 13 hs"/>
    <s v="SANATORIO"/>
    <d v="2026-01-05T00:00:00"/>
    <d v="2026-01-12T00:00:00"/>
    <m/>
    <m/>
    <s v="ROMINA RONCORONI"/>
    <s v="$801.551,37 bruto /        $662.168,00 neto"/>
    <s v="122/75"/>
    <s v="No"/>
    <m/>
    <s v="17-12 entrevista 23-12 preoc"/>
  </r>
  <r>
    <s v="00065"/>
    <d v="2025-12-26T00:00:00"/>
    <s v="Cerrada"/>
    <s v="Ema"/>
    <s v="Aprobada"/>
    <m/>
    <m/>
    <m/>
    <m/>
    <x v="3"/>
    <s v="CIRENDSA"/>
    <s v="Enfermeria"/>
    <s v="Terapia Intensiva"/>
    <x v="6"/>
    <s v="Enfermero/a de Terapia Intensiva"/>
    <s v="Alvez"/>
    <m/>
    <x v="0"/>
    <x v="0"/>
    <m/>
    <m/>
    <m/>
    <s v="Reemplazo"/>
    <m/>
    <s v="Camino C"/>
    <m/>
    <s v="Eventual "/>
    <m/>
    <m/>
    <s v="22 A 6 HS"/>
    <s v="SANATORIO"/>
    <d v="2026-02-05T00:00:00"/>
    <d v="2026-02-09T00:00:00"/>
    <m/>
    <m/>
    <s v="EDITH LLANES"/>
    <s v="$1.554.520,85  bruto /       $1.295.707,00 neto"/>
    <s v="122/75"/>
    <s v="No"/>
    <m/>
    <m/>
  </r>
  <r>
    <s v="00066"/>
    <d v="2025-12-26T00:00:00"/>
    <s v="Cerrada"/>
    <s v="Jose"/>
    <s v="Aprobada"/>
    <m/>
    <m/>
    <m/>
    <m/>
    <x v="3"/>
    <m/>
    <s v="Sistemas"/>
    <s v="Sistemas"/>
    <x v="11"/>
    <s v="Programador Java"/>
    <s v="David"/>
    <m/>
    <x v="0"/>
    <x v="0"/>
    <m/>
    <s v="Alta"/>
    <s v="Media"/>
    <s v="Reemplazo"/>
    <m/>
    <s v="Mantilla R"/>
    <m/>
    <s v="Indeterminado "/>
    <m/>
    <m/>
    <s v="L a V 09h a 18h"/>
    <s v="La Musa"/>
    <d v="2026-04-10T00:00:00"/>
    <d v="2026-04-20T00:00:00"/>
    <s v="Externa"/>
    <s v="Linkedln "/>
    <s v="Gian Franco Stigliano"/>
    <s v="3253012,04 bruto"/>
    <s v="FUCO"/>
    <s v="Ok"/>
    <s v="No"/>
    <m/>
  </r>
  <r>
    <s v="00067"/>
    <d v="2025-12-28T00:00:00"/>
    <s v="Cerrada"/>
    <s v="Ema"/>
    <s v="Aprobada"/>
    <m/>
    <m/>
    <m/>
    <m/>
    <x v="3"/>
    <s v="CIRENDSA"/>
    <s v="Enfermeria"/>
    <s v="Internación"/>
    <x v="6"/>
    <s v="Enfermero/a de Internación"/>
    <s v="Alvez"/>
    <m/>
    <x v="0"/>
    <x v="0"/>
    <m/>
    <s v="Baja"/>
    <s v="Media"/>
    <s v="Reemplazo"/>
    <m/>
    <s v="Aguilar M"/>
    <m/>
    <s v="Plazo Fijo"/>
    <m/>
    <m/>
    <s v="14 A 22 HS"/>
    <s v="SANATORIO"/>
    <d v="2026-03-03T00:00:00"/>
    <d v="2026-03-09T00:00:00"/>
    <m/>
    <m/>
    <s v="JOSE ROCHA"/>
    <s v="$1.223.571,44  bruto /       $1.024.328,50 neto"/>
    <s v="122/75"/>
    <s v="No"/>
    <m/>
    <m/>
  </r>
  <r>
    <s v="00068"/>
    <d v="2025-12-29T00:00:00"/>
    <s v="Cerrada"/>
    <s v="Franco"/>
    <s v="Aprobada"/>
    <m/>
    <m/>
    <m/>
    <m/>
    <x v="7"/>
    <s v="Farmacia Nobel"/>
    <s v="Administración"/>
    <s v="Farmacia Lamaité"/>
    <x v="3"/>
    <s v="CAJERO/A"/>
    <s v="Ivan Lara"/>
    <m/>
    <x v="0"/>
    <x v="0"/>
    <m/>
    <m/>
    <m/>
    <s v="Reemplazo"/>
    <m/>
    <s v="Melanie Cabrera "/>
    <m/>
    <s v="Plazo Fijo"/>
    <m/>
    <m/>
    <s v="Lunes a Viernes 16 a 22hs y Sabados de 13 a 22hs."/>
    <s v="Farmacia"/>
    <d v="2026-01-08T00:00:00"/>
    <d v="2026-01-19T00:00:00"/>
    <m/>
    <m/>
    <s v="Roxana Sequeira"/>
    <s v=" $1.429.794,99 bruto / $1.158.134,00 neto"/>
    <s v="414/05"/>
    <s v="No"/>
    <s v="No"/>
    <s v="19/12 Se conocen 2 candidatos, avanza 1 a preoc."/>
  </r>
  <r>
    <s v="00069"/>
    <d v="2025-12-29T00:00:00"/>
    <s v="Cerrada"/>
    <s v="Ema"/>
    <s v="Aprobada"/>
    <m/>
    <m/>
    <m/>
    <m/>
    <x v="3"/>
    <s v="CIRENDSA"/>
    <s v="Enfermeria"/>
    <s v="Terapia Intensiva"/>
    <x v="6"/>
    <s v="Enfermero/a de Terapia Intensiva"/>
    <s v="Alvez"/>
    <m/>
    <x v="0"/>
    <x v="0"/>
    <m/>
    <m/>
    <m/>
    <s v="Reemplazo"/>
    <m/>
    <s v="Vuelta Vasquez V a CM"/>
    <m/>
    <s v="Plazo Fijo"/>
    <m/>
    <m/>
    <s v="6 A 14 HS"/>
    <s v="SANATORIO"/>
    <d v="2026-02-10T00:00:00"/>
    <d v="2026-02-23T00:00:00"/>
    <m/>
    <m/>
    <s v="DANNA SPIRAN"/>
    <s v="$1.444.204,15  bruto /       $1.205.247,26 neto"/>
    <s v="122/75"/>
    <s v="No"/>
    <m/>
    <m/>
  </r>
  <r>
    <s v="00070"/>
    <d v="2025-12-29T00:00:00"/>
    <s v="Cerrada"/>
    <s v="Ema"/>
    <s v="Aprobada"/>
    <m/>
    <m/>
    <m/>
    <m/>
    <x v="3"/>
    <s v="CIRENDSA"/>
    <s v="Enfermeria"/>
    <s v="Terapia Intensiva"/>
    <x v="6"/>
    <s v="Enfermero/a de Terapia Intensiva"/>
    <s v="Alvez"/>
    <m/>
    <x v="0"/>
    <x v="0"/>
    <m/>
    <m/>
    <m/>
    <s v="Reemplazo"/>
    <m/>
    <s v="Vuelta de Placereano a CM"/>
    <m/>
    <s v="Plazo Fijo"/>
    <m/>
    <m/>
    <s v="6 A 14 HS"/>
    <s v="SANATORIO"/>
    <d v="2026-02-10T00:00:00"/>
    <d v="2026-02-23T00:00:00"/>
    <m/>
    <m/>
    <s v="JANETH VARGAS"/>
    <s v="$1.444.204,15  bruto /       $1.205.247,26 neto"/>
    <s v="122/75"/>
    <s v="No"/>
    <m/>
    <m/>
  </r>
  <r>
    <s v="00071"/>
    <d v="2025-12-29T00:00:00"/>
    <s v="Cerrada"/>
    <s v="Ema"/>
    <s v="Aprobada"/>
    <m/>
    <m/>
    <m/>
    <m/>
    <x v="3"/>
    <s v="CIRENDSA"/>
    <s v="Hotelería"/>
    <s v="Internación"/>
    <x v="4"/>
    <s v="MUCAMO/A"/>
    <s v="Valeria Dodero"/>
    <m/>
    <x v="0"/>
    <x v="0"/>
    <m/>
    <m/>
    <m/>
    <s v="Reemplazo"/>
    <m/>
    <s v="Menendez Ab"/>
    <m/>
    <s v="Plazo Fijo"/>
    <m/>
    <m/>
    <s v="6-14 HS"/>
    <s v="SANATORIO"/>
    <d v="2026-01-15T00:00:00"/>
    <d v="2026-02-09T00:00:00"/>
    <m/>
    <m/>
    <s v="NORMA ROJAS"/>
    <s v="$1.052.963,43  bruto /       $875.067,00 neto"/>
    <s v="122/75"/>
    <s v="No"/>
    <m/>
    <m/>
  </r>
  <r>
    <s v="00072"/>
    <d v="2025-12-31T00:00:00"/>
    <s v="Cerrada"/>
    <s v="Franco"/>
    <s v="Aprobada"/>
    <m/>
    <m/>
    <m/>
    <m/>
    <x v="0"/>
    <s v="Cobensil"/>
    <s v="Cobranzas"/>
    <s v="Administración y Finanzas"/>
    <x v="0"/>
    <s v="Cobrador/a"/>
    <s v="Florencia Rodriguez"/>
    <m/>
    <x v="0"/>
    <x v="0"/>
    <m/>
    <m/>
    <m/>
    <s v="Reemplazo"/>
    <m/>
    <s v="Monica Andrade (153820)"/>
    <m/>
    <s v="Inderminado "/>
    <m/>
    <m/>
    <s v="Lunes a Viernes de 14h a 20hs, Sabado x medio de 9 a 13hs (Part time) "/>
    <s v="Ravignani"/>
    <d v="2026-01-06T00:00:00"/>
    <d v="2026-01-13T00:00:00"/>
    <m/>
    <m/>
    <s v="Camila Fernandez"/>
    <s v="$711.303,94 bruto / $564.434,00 neto"/>
    <s v="130/75"/>
    <s v="No"/>
    <s v="No"/>
    <s v="12/12 - Se conocen 3 candidatos, se avanzan con los 3 a preoc."/>
  </r>
  <r>
    <s v="00073"/>
    <d v="2025-12-31T00:00:00"/>
    <s v="Cerrada"/>
    <s v="Ema"/>
    <s v="Aprobada"/>
    <m/>
    <m/>
    <m/>
    <m/>
    <x v="3"/>
    <s v="CIRENDSA"/>
    <s v="Enfermeria"/>
    <s v="Internación"/>
    <x v="6"/>
    <s v="Enfermero/a de Internación"/>
    <s v="Alvez"/>
    <m/>
    <x v="0"/>
    <x v="0"/>
    <m/>
    <m/>
    <m/>
    <s v="Reemplazo"/>
    <m/>
    <s v="Pase a TN Avircata V"/>
    <m/>
    <s v="Eventual "/>
    <m/>
    <m/>
    <s v="22 A 6 HS por eventual vacaciones"/>
    <s v="SANATORIO"/>
    <d v="2026-01-27T00:00:00"/>
    <d v="2026-02-02T00:00:00"/>
    <m/>
    <m/>
    <s v="ARIEL GUTIERREZ"/>
    <s v="$1.333.887,91  bruto /        $1.114.788,00 neto"/>
    <s v="122/75"/>
    <s v="No"/>
    <m/>
    <m/>
  </r>
  <r>
    <s v="00074"/>
    <d v="2025-12-31T00:00:00"/>
    <s v="Cerrada"/>
    <s v="Franco"/>
    <s v="Aprobada"/>
    <m/>
    <s v="No"/>
    <m/>
    <m/>
    <x v="0"/>
    <s v="Cobensil SA"/>
    <s v="Ventas Retail"/>
    <s v="Comercial"/>
    <x v="0"/>
    <s v="VENDEDOR/A"/>
    <s v="Serafin"/>
    <m/>
    <x v="0"/>
    <x v="0"/>
    <m/>
    <m/>
    <m/>
    <s v="Reemplazo"/>
    <m/>
    <s v="MARTINEZ, JOEL SEBASTIAN"/>
    <m/>
    <s v="Inderminado "/>
    <m/>
    <m/>
    <s v="Lunes a Viernes de 10 a 18hs"/>
    <s v="Sede Colegiales (Lacroze 3257)"/>
    <d v="2026-01-22T00:00:00"/>
    <d v="2026-02-03T00:00:00"/>
    <m/>
    <m/>
    <s v="TOROSANTUCCI, ADRIAN"/>
    <s v="$1.271.329,36 bruto /  $1.036.688,00 neto"/>
    <s v="130/75"/>
    <s v="No"/>
    <s v="No"/>
    <s v="03/02/26 iba a ingresar una candidata pero se bajo el dia de la firma, se retoma proceso de busqueda"/>
  </r>
  <r>
    <s v="00075"/>
    <d v="2025-12-31T00:00:00"/>
    <s v="Cerrada"/>
    <s v="Franco"/>
    <s v="Aprobada"/>
    <m/>
    <m/>
    <m/>
    <m/>
    <x v="2"/>
    <s v="CMM"/>
    <s v="Atención al Paciente"/>
    <s v="Administración"/>
    <x v="3"/>
    <s v="RECEPCIONISTA"/>
    <s v="Facundo De Franco"/>
    <m/>
    <x v="0"/>
    <x v="0"/>
    <m/>
    <m/>
    <m/>
    <s v="Reemplazo"/>
    <m/>
    <s v=" Lourdes Fiori"/>
    <m/>
    <s v="Inderminado "/>
    <m/>
    <m/>
    <s v="Lunes a Viernes de 11 a 20hs."/>
    <s v="Recoleta"/>
    <d v="2026-01-28T00:00:00"/>
    <d v="2026-02-03T00:00:00"/>
    <m/>
    <m/>
    <s v="Yanina Juarez"/>
    <s v="1.169.193,70 bruto / $970.618,83 neto"/>
    <s v="108/75"/>
    <s v="No"/>
    <s v="No"/>
    <s v="23-01 - entrrevista gestor + una candidata backup en preocupacional "/>
  </r>
  <r>
    <s v="00076"/>
    <d v="2026-01-01T00:00:00"/>
    <s v="Cerrada"/>
    <s v="Ema"/>
    <s v="Aprobada"/>
    <m/>
    <m/>
    <m/>
    <m/>
    <x v="3"/>
    <s v="CIRENDSA"/>
    <s v="Hotelería"/>
    <s v="Internación"/>
    <x v="4"/>
    <s v="MUCAMO/A"/>
    <s v="Valeria Dodero"/>
    <m/>
    <x v="0"/>
    <x v="0"/>
    <m/>
    <m/>
    <m/>
    <s v="Reemplazo"/>
    <m/>
    <s v="1+ Vacaciones TM"/>
    <m/>
    <s v="Eventual "/>
    <m/>
    <m/>
    <s v="6-14 HS"/>
    <s v="SANATORIO"/>
    <d v="2026-01-15T00:00:00"/>
    <d v="2026-01-23T00:00:00"/>
    <m/>
    <m/>
    <s v="WILMA ROJAS"/>
    <s v="$1.052.963,43 bruto /        $875.067,00 neto"/>
    <s v="122/75"/>
    <s v="No"/>
    <s v="No"/>
    <m/>
  </r>
  <r>
    <s v="00077"/>
    <d v="2026-01-01T00:00:00"/>
    <s v="Cerrada"/>
    <s v="Ema"/>
    <s v="Aprobada"/>
    <m/>
    <m/>
    <m/>
    <m/>
    <x v="3"/>
    <s v="CIRENDSA"/>
    <s v="Cirugía"/>
    <s v="Quirófano"/>
    <x v="5"/>
    <s v="INSTRUMENTADOR/A"/>
    <s v="Di Franco"/>
    <m/>
    <x v="0"/>
    <x v="0"/>
    <m/>
    <m/>
    <m/>
    <s v="Reemplazo"/>
    <m/>
    <s v="Vacaciones"/>
    <m/>
    <s v="Eventual "/>
    <m/>
    <m/>
    <s v="Lunes a Sábados 7 a 15 hs. Feriados rotativos."/>
    <s v="SANATORIO"/>
    <d v="2026-01-05T00:00:00"/>
    <d v="2026-01-12T00:00:00"/>
    <m/>
    <m/>
    <s v="CATARINA RENDE"/>
    <s v="$1.478.071,38  bruto /       $1.230.851,50 neto"/>
    <s v="122/75"/>
    <s v="No"/>
    <m/>
    <m/>
  </r>
  <r>
    <s v="00078"/>
    <d v="2026-01-01T00:00:00"/>
    <s v="Cerrada"/>
    <s v="Ema"/>
    <s v="Aprobada"/>
    <m/>
    <m/>
    <m/>
    <m/>
    <x v="3"/>
    <s v="CIRENDSA"/>
    <s v="Cirugía"/>
    <s v="Quirófano"/>
    <x v="5"/>
    <s v="INSTRUMENTADOR/A"/>
    <s v="Di Franco"/>
    <m/>
    <x v="0"/>
    <x v="0"/>
    <m/>
    <m/>
    <m/>
    <s v="Reemplazo"/>
    <m/>
    <s v="Vacaciones"/>
    <m/>
    <s v="Eventual "/>
    <m/>
    <m/>
    <s v="Lunes a Sábados 7 a 15 hs. Feriados rotativos."/>
    <s v="SANATORIO"/>
    <d v="2026-01-05T00:00:00"/>
    <d v="2026-01-12T00:00:00"/>
    <m/>
    <m/>
    <s v="MELANY GUTIERREZ"/>
    <s v="$1.478.071,38  bruto /       $1.230.851,50 neto"/>
    <s v="122/75"/>
    <s v="No"/>
    <m/>
    <s v="23/12 entrevista RRHH + Gestor 26/12 preoc 07/01 Se baja del proceso 9/1 entrevista"/>
  </r>
  <r>
    <s v="00079"/>
    <d v="2026-01-01T00:00:00"/>
    <s v="Cerrada"/>
    <s v="Ema"/>
    <s v="Aprobada"/>
    <m/>
    <m/>
    <m/>
    <m/>
    <x v="3"/>
    <s v="CIRENDSA"/>
    <s v="Cirugía"/>
    <s v="Quirófano"/>
    <x v="5"/>
    <s v="INSTRUMENTADOR/A"/>
    <s v="Di Franco"/>
    <m/>
    <x v="0"/>
    <x v="0"/>
    <m/>
    <m/>
    <m/>
    <s v="Reemplazo"/>
    <m/>
    <s v="Vacaciones"/>
    <m/>
    <s v="Eventual "/>
    <m/>
    <m/>
    <s v="Lunes a Sábados 15 a 23 hs. Feriados rotativos."/>
    <s v="SANATORIO"/>
    <d v="2026-01-05T00:00:00"/>
    <d v="2026-01-19T00:00:00"/>
    <m/>
    <m/>
    <s v="DOLORES VARGAS"/>
    <s v="$1.478.071,38  bruto /       $1.230.851,50 neto"/>
    <s v="122/75"/>
    <s v="No"/>
    <m/>
    <s v="9/1 entrevista RRHH + Gestor "/>
  </r>
  <r>
    <s v="00080"/>
    <d v="2026-01-01T00:00:00"/>
    <s v="Cerrada"/>
    <s v="Ema"/>
    <s v="Aprobada"/>
    <m/>
    <m/>
    <m/>
    <m/>
    <x v="3"/>
    <s v="CIRENDSA"/>
    <s v="Cirugía"/>
    <s v="Quirófano"/>
    <x v="5"/>
    <s v="INSTRUMENTADOR/A"/>
    <s v="Di Franco"/>
    <m/>
    <x v="0"/>
    <x v="0"/>
    <m/>
    <m/>
    <m/>
    <s v="Reemplazo"/>
    <m/>
    <s v="Vacaciones"/>
    <m/>
    <s v="Eventual "/>
    <m/>
    <m/>
    <s v="L A S 15 A 23 HS. FERIADO ROTATIVO"/>
    <s v="SANATORIO"/>
    <d v="2026-02-05T00:00:00"/>
    <d v="2026-02-09T00:00:00"/>
    <m/>
    <m/>
    <s v="ALEJANDRO CANDADO"/>
    <m/>
    <s v="122/75"/>
    <s v="No"/>
    <m/>
    <s v="23/12 entrevista RRHH 26/12 No asiste a entrevista con Gestor "/>
  </r>
  <r>
    <s v="00081"/>
    <d v="2026-01-01T00:00:00"/>
    <s v="Cerrada"/>
    <s v="Ema"/>
    <s v="Aprobada"/>
    <m/>
    <m/>
    <m/>
    <m/>
    <x v="3"/>
    <s v="CIRENDSA"/>
    <s v="Enfermeria"/>
    <s v="Terapia Intensiva"/>
    <x v="6"/>
    <s v="Enfermero/a de Terapia Intensiva"/>
    <s v="Alvez"/>
    <m/>
    <x v="0"/>
    <x v="0"/>
    <m/>
    <m/>
    <m/>
    <s v="Reemplazo"/>
    <m/>
    <s v="Vacante TM"/>
    <m/>
    <s v="Plazo Fijo"/>
    <m/>
    <m/>
    <s v="6 A 14 HS"/>
    <s v="SANATORIO"/>
    <d v="2026-02-19T00:00:00"/>
    <d v="2026-02-23T00:00:00"/>
    <m/>
    <m/>
    <s v="SANDRA DAVILA"/>
    <s v="$1.444.204,15  bruto /       $1.205.247,26 neto"/>
    <s v="122/75"/>
    <s v="No"/>
    <m/>
    <m/>
  </r>
  <r>
    <s v="00082"/>
    <d v="2026-01-01T00:00:00"/>
    <s v="Cerrada"/>
    <s v="Ema"/>
    <s v="Aprobada"/>
    <m/>
    <m/>
    <m/>
    <m/>
    <x v="3"/>
    <s v="CIRENDSA"/>
    <s v="Enfermeria"/>
    <s v="Terapia Intensiva"/>
    <x v="6"/>
    <s v="Enfermero/a de Terapia Intensiva"/>
    <s v="Alvez"/>
    <m/>
    <x v="0"/>
    <x v="0"/>
    <m/>
    <m/>
    <m/>
    <s v="Reemplazo"/>
    <m/>
    <s v="Vacante TM"/>
    <m/>
    <s v="Plazo Fijo"/>
    <m/>
    <m/>
    <s v="6 A 14 HS"/>
    <s v="SANATORIO"/>
    <d v="2026-02-19T00:00:00"/>
    <d v="2026-02-23T00:00:00"/>
    <m/>
    <m/>
    <s v="SERGIO MARINERO"/>
    <s v="$1.444.204,15  bruto /       $1.205.247,26 neto"/>
    <s v="122/75"/>
    <s v="No"/>
    <m/>
    <m/>
  </r>
  <r>
    <s v="00083"/>
    <d v="2026-01-01T00:00:00"/>
    <s v="Cerrada"/>
    <s v="Ema"/>
    <s v="Aprobada"/>
    <m/>
    <m/>
    <m/>
    <m/>
    <x v="3"/>
    <s v="CIRENDSA"/>
    <s v="Enfermeria"/>
    <s v="Internación"/>
    <x v="6"/>
    <s v="Enfermero/a de Internación"/>
    <s v="Alvez"/>
    <m/>
    <x v="0"/>
    <x v="0"/>
    <m/>
    <m/>
    <m/>
    <s v="Reemplazo"/>
    <m/>
    <s v="1+ Vacaciones CM TM"/>
    <m/>
    <s v="Eventual "/>
    <m/>
    <m/>
    <s v="6 A 14 HS por EVENTUAL vacaciones"/>
    <s v="SANATORIO"/>
    <d v="2026-01-15T00:00:00"/>
    <d v="2026-02-02T00:00:00"/>
    <m/>
    <m/>
    <s v="ANA CESPEDES"/>
    <s v="$1.223.571,44  bruto /       $1.024.328,50 neto"/>
    <s v="122/75"/>
    <s v="No"/>
    <m/>
    <m/>
  </r>
  <r>
    <s v="00084"/>
    <d v="2026-01-01T00:00:00"/>
    <s v="Cerrada"/>
    <s v="Ema"/>
    <s v="Aprobada"/>
    <m/>
    <m/>
    <m/>
    <m/>
    <x v="3"/>
    <s v="CIRENDSA"/>
    <s v="Enfermeria"/>
    <s v="Internación"/>
    <x v="6"/>
    <s v="Enfermero/a de Internación"/>
    <s v="Alvez"/>
    <m/>
    <x v="0"/>
    <x v="0"/>
    <m/>
    <m/>
    <m/>
    <s v="Reemplazo"/>
    <m/>
    <s v="1+ Vacaciones CM TN"/>
    <m/>
    <s v="Eventual "/>
    <m/>
    <m/>
    <s v="22 a 6 HS por EVENTUAL vacaciones"/>
    <s v="SANATORIO"/>
    <d v="2026-01-28T00:00:00"/>
    <d v="2026-02-02T00:00:00"/>
    <m/>
    <m/>
    <s v="KELLY CARRASCO"/>
    <s v="$1.333.887,91  bruto /       $1.114.788,00 neto"/>
    <s v="122/75"/>
    <s v="No"/>
    <m/>
    <m/>
  </r>
  <r>
    <s v="00085"/>
    <d v="2026-01-01T00:00:00"/>
    <s v="Cerrada"/>
    <s v="Ema"/>
    <s v="Aprobada"/>
    <m/>
    <m/>
    <m/>
    <m/>
    <x v="3"/>
    <s v="CIRENDSA"/>
    <s v="Enfermeria"/>
    <s v="Área Cerrada"/>
    <x v="6"/>
    <s v="Enfermero/a de área cerrada (UCO/UTI)"/>
    <s v="Noelia Alvez"/>
    <m/>
    <x v="0"/>
    <x v="0"/>
    <m/>
    <m/>
    <m/>
    <s v="Reemplazo"/>
    <m/>
    <s v="Tapia M"/>
    <m/>
    <s v="Indeterminado "/>
    <m/>
    <m/>
    <s v="TM - 6 a 14 hs"/>
    <s v="SANATORIO"/>
    <d v="2026-04-20T00:00:00"/>
    <d v="2026-04-20T00:00:00"/>
    <s v="Interna"/>
    <m/>
    <s v="GUSTAVO ROCHA"/>
    <s v="Eventual. Se efectiviza el puesto"/>
    <s v="122/75"/>
    <s v="No"/>
    <m/>
    <s v="22/2 Preo No apto por Labo - Se retoma // 27/3 no apto por epilepsia"/>
  </r>
  <r>
    <s v="00086"/>
    <d v="2026-01-02T00:00:00"/>
    <s v="Cerrada"/>
    <s v="Ema"/>
    <s v="Aprobada"/>
    <m/>
    <m/>
    <m/>
    <m/>
    <x v="3"/>
    <s v="CIRENDSA"/>
    <s v="Cirugía"/>
    <s v="Quirófano"/>
    <x v="5"/>
    <s v="Tecnico/a de Hemodinamia"/>
    <s v="Samaja"/>
    <m/>
    <x v="0"/>
    <x v="0"/>
    <m/>
    <m/>
    <m/>
    <s v="Reemplazo"/>
    <m/>
    <s v="Surraco Capdevila"/>
    <m/>
    <s v="Inderminado "/>
    <m/>
    <m/>
    <s v="LUNES A VIERNES 17 A 22 HS. Guardias pasivas a coordinar"/>
    <s v="SANATORIO"/>
    <d v="2026-01-21T00:00:00"/>
    <d v="2026-01-23T00:00:00"/>
    <m/>
    <m/>
    <s v="LIZ MARLENE RODRIGUEZ"/>
    <s v="$1.478.689,81  bruto /       $1.233.525,50 neto"/>
    <s v="122/75"/>
    <s v="No"/>
    <m/>
    <m/>
  </r>
  <r>
    <s v="00087"/>
    <d v="2026-01-02T00:00:00"/>
    <s v="Cerrada"/>
    <s v="Ema"/>
    <s v="Aprobada"/>
    <m/>
    <m/>
    <m/>
    <m/>
    <x v="3"/>
    <s v="CIRENDSA"/>
    <s v="Admisión"/>
    <s v="Consultorios Externos"/>
    <x v="3"/>
    <s v="ADMISIONISTA"/>
    <s v="Gomez"/>
    <m/>
    <x v="0"/>
    <x v="0"/>
    <m/>
    <m/>
    <m/>
    <s v="Reemplazo"/>
    <m/>
    <s v="Pase a DICOM - Colombo"/>
    <m/>
    <s v="Plazo Fijo"/>
    <m/>
    <m/>
    <s v="Lunes a Viernes 14 a 20 hs. Sábado por medio 7 a 13 hs"/>
    <s v="SANATORIO"/>
    <d v="2026-01-15T00:00:00"/>
    <d v="2026-01-23T00:00:00"/>
    <m/>
    <m/>
    <s v="MARIA LAURA BLOCH"/>
    <s v="$842.805,08 bruto /        $697.077,50 neto"/>
    <s v="122/75"/>
    <s v="No"/>
    <m/>
    <m/>
  </r>
  <r>
    <s v="00088"/>
    <d v="2026-01-02T00:00:00"/>
    <s v="Cerrada"/>
    <s v="Ema"/>
    <s v="Aprobada"/>
    <m/>
    <m/>
    <m/>
    <m/>
    <x v="3"/>
    <s v="CIRENDSA"/>
    <s v="Admisión"/>
    <s v="Consultorios Externos"/>
    <x v="3"/>
    <s v="ADMISIONISTA"/>
    <s v="Gomez"/>
    <m/>
    <x v="0"/>
    <x v="0"/>
    <m/>
    <m/>
    <m/>
    <s v="Reemplazo"/>
    <m/>
    <s v="Pase a DICOM - Acuña"/>
    <m/>
    <s v="Plazo Fijo"/>
    <m/>
    <m/>
    <s v="Lunes a Viernes 14 a 20 hs. Sábado por medio 7 a 13 hs"/>
    <s v="SANATORIO"/>
    <d v="2026-01-15T00:00:00"/>
    <d v="2026-01-23T00:00:00"/>
    <m/>
    <m/>
    <s v="LUCILA BELEN CORTES"/>
    <s v="$842.805,08 bruto /        $697.077,50 neto"/>
    <s v="122/75"/>
    <s v="No"/>
    <m/>
    <m/>
  </r>
  <r>
    <s v="00089"/>
    <d v="2026-01-02T00:00:00"/>
    <s v="Cerrada"/>
    <s v="Ema"/>
    <s v="Aprobada"/>
    <m/>
    <m/>
    <m/>
    <m/>
    <x v="3"/>
    <s v="CIRENDSA"/>
    <s v="Hotelería"/>
    <s v="Internación"/>
    <x v="4"/>
    <s v="PEON"/>
    <s v="Valeria Dodero"/>
    <m/>
    <x v="0"/>
    <x v="0"/>
    <m/>
    <m/>
    <m/>
    <s v="Reemplazo"/>
    <m/>
    <s v="Gutierrez M"/>
    <m/>
    <s v="Plazo Fijo"/>
    <m/>
    <m/>
    <s v="22 A 6 HS. 1 franco semanal rotativo entre Sábado y Domingo."/>
    <s v="SANATORIO"/>
    <d v="2026-01-19T00:00:00"/>
    <d v="2026-01-23T00:00:00"/>
    <m/>
    <m/>
    <s v="FACUNDO OSORIO"/>
    <s v="$1.169.271,41  bruto /       $979.802,50 neto"/>
    <s v="122/75"/>
    <s v="No"/>
    <m/>
    <m/>
  </r>
  <r>
    <s v="00090"/>
    <d v="2026-01-02T00:00:00"/>
    <s v="Cerrada"/>
    <s v="Ema"/>
    <s v="Aprobada"/>
    <m/>
    <m/>
    <m/>
    <m/>
    <x v="3"/>
    <s v="CIRENDSA"/>
    <s v="Hotelería"/>
    <s v="Internación"/>
    <x v="4"/>
    <s v="PEON"/>
    <s v="Valeria Dodero"/>
    <m/>
    <x v="0"/>
    <x v="0"/>
    <m/>
    <m/>
    <m/>
    <s v="Reemplazo"/>
    <m/>
    <s v="Melillan A"/>
    <m/>
    <s v="Plazo Fijo"/>
    <m/>
    <m/>
    <s v="22 A 6 HS. 1 franco semanal rotativo entre Sábado y Domingo."/>
    <s v="SANATORIO"/>
    <d v="2026-01-19T00:00:00"/>
    <d v="2026-01-23T00:00:00"/>
    <m/>
    <m/>
    <s v="GABRIEL PAIVA"/>
    <s v="$1.169.271,41  bruto /       $979.802,50 neto"/>
    <s v="122/75"/>
    <s v="No"/>
    <m/>
    <m/>
  </r>
  <r>
    <s v="00091"/>
    <d v="2026-01-03T00:00:00"/>
    <s v="Cerrada"/>
    <s v="Ema"/>
    <s v="Aprobada"/>
    <m/>
    <m/>
    <m/>
    <m/>
    <x v="3"/>
    <s v="CIRENDSA"/>
    <s v="Hotelería"/>
    <s v="Internación"/>
    <x v="4"/>
    <s v="MUCAMO/A"/>
    <s v="Valeria Dodero"/>
    <m/>
    <x v="0"/>
    <x v="0"/>
    <m/>
    <m/>
    <m/>
    <s v="Reemplazo"/>
    <m/>
    <s v="Luna E"/>
    <m/>
    <s v="Plazo Fijo"/>
    <m/>
    <m/>
    <s v="14-22 HS"/>
    <s v="SANATORIO"/>
    <d v="2026-01-06T00:00:00"/>
    <d v="2026-01-19T00:00:00"/>
    <m/>
    <m/>
    <s v="EVA MARIA PEREZ"/>
    <s v="$1.000.154,62  BRUTO /  $830.004,50 NETO"/>
    <s v="122/75"/>
    <s v="No"/>
    <m/>
    <m/>
  </r>
  <r>
    <s v="00092"/>
    <d v="2026-01-03T00:00:00"/>
    <s v="Cerrada"/>
    <s v="Ema"/>
    <s v="Aprobada"/>
    <m/>
    <m/>
    <m/>
    <m/>
    <x v="3"/>
    <s v="CIRENDSA"/>
    <s v="Hotelería"/>
    <s v="Internación"/>
    <x v="4"/>
    <s v="MUCAMO/A"/>
    <s v="Valeria Dodero"/>
    <m/>
    <x v="0"/>
    <x v="0"/>
    <m/>
    <m/>
    <m/>
    <s v="Reemplazo"/>
    <m/>
    <s v="Lescano C"/>
    <m/>
    <s v="Plazo Fijo"/>
    <m/>
    <m/>
    <s v="14-22 HS"/>
    <s v="SANATORIO"/>
    <d v="2026-01-15T00:00:00"/>
    <d v="2026-01-23T00:00:00"/>
    <m/>
    <m/>
    <s v="ERICA GONZALEZ"/>
    <s v="$1.052.963,43  bruto /       $875.067,00 neto"/>
    <s v="122/75"/>
    <s v="No"/>
    <m/>
    <s v="16/1 Ant penales. Se retoma"/>
  </r>
  <r>
    <s v="00093"/>
    <d v="2026-01-03T00:00:00"/>
    <s v="Cerrada"/>
    <s v="Ema"/>
    <s v="Aprobada"/>
    <m/>
    <m/>
    <m/>
    <m/>
    <x v="3"/>
    <s v="CIRENDSA"/>
    <s v="Hotelería"/>
    <s v="Internación"/>
    <x v="4"/>
    <s v="MUCAMO/A"/>
    <s v="Valeria Dodero"/>
    <m/>
    <x v="0"/>
    <x v="0"/>
    <m/>
    <m/>
    <m/>
    <s v="Reemplazo"/>
    <m/>
    <s v="Sainz Y"/>
    <m/>
    <s v="Plazo Fijo"/>
    <m/>
    <m/>
    <s v="14-22 HS"/>
    <s v="SANATORIO"/>
    <d v="2026-01-06T00:00:00"/>
    <d v="2026-01-19T00:00:00"/>
    <m/>
    <m/>
    <s v="ALDANA AGUIRRE"/>
    <s v="$1.000.154,62  BRUTO /  $830.004,50 NETO"/>
    <s v="122/75"/>
    <s v="No"/>
    <m/>
    <m/>
  </r>
  <r>
    <s v="00094"/>
    <d v="2026-01-05T00:00:00"/>
    <s v="Cerrada"/>
    <s v="Franco"/>
    <s v="Aprobada"/>
    <m/>
    <m/>
    <m/>
    <m/>
    <x v="5"/>
    <s v="CMV"/>
    <s v="Sistemas"/>
    <s v="Sistemas"/>
    <x v="11"/>
    <s v="Soporte Tecnico"/>
    <s v="Marcelo Engel"/>
    <m/>
    <x v="0"/>
    <x v="0"/>
    <m/>
    <s v="Baja"/>
    <s v="Media"/>
    <s v="Reemplazo"/>
    <m/>
    <s v="Pablo Cammi"/>
    <m/>
    <s v="Inderminado "/>
    <m/>
    <m/>
    <s v="Lunes a Viernes de 13 a 21hs y Sábado por medio de 8 a 13hs (45hs semanales)"/>
    <s v="Vilella"/>
    <d v="2026-02-24T00:00:00"/>
    <d v="2026-03-09T00:00:00"/>
    <s v="Externa"/>
    <m/>
    <s v="Santiago Lloveras"/>
    <s v="$1.504.151,39 bruto /  1.229.258,00 neto"/>
    <s v="130/75"/>
    <s v="No"/>
    <s v="No"/>
    <s v="4 candidatos enviados a Marcelo . Marcelo va evaluar la posibilidad de mejorar la propuesta economica ya que el horario es complejo. Entrevista con candidato por parte de rrh el 27-01-26. 29-01 entrevista con Engel. Se avanza a preoc"/>
  </r>
  <r>
    <s v="00095"/>
    <d v="2026-01-05T00:00:00"/>
    <s v="Cerrada"/>
    <s v="Ema"/>
    <s v="Aprobada"/>
    <m/>
    <m/>
    <m/>
    <m/>
    <x v="3"/>
    <s v="CIRENDSA"/>
    <s v="Admisión"/>
    <s v="Consultorios Externos"/>
    <x v="3"/>
    <s v="ADMISIONISTA"/>
    <s v="Gomez"/>
    <m/>
    <x v="0"/>
    <x v="0"/>
    <m/>
    <m/>
    <m/>
    <s v="Reemplazo"/>
    <m/>
    <s v="Molina J"/>
    <m/>
    <s v="Plazo Fijo"/>
    <m/>
    <m/>
    <s v="Lunes a Viernes 14 a 20 hs. Sábado por medio 7 a 13 hs"/>
    <s v="SANATORIO"/>
    <d v="2026-01-15T00:00:00"/>
    <d v="2026-01-23T00:00:00"/>
    <m/>
    <m/>
    <s v="MARIA BELEN CAVALLERO"/>
    <s v="$842.805,08 bruto /        $697.077,50 neto"/>
    <s v="122/75"/>
    <s v="No"/>
    <m/>
    <m/>
  </r>
  <r>
    <s v="00096"/>
    <d v="2026-01-06T00:00:00"/>
    <s v="Cerrada"/>
    <s v="Ema"/>
    <s v="Aprobada"/>
    <m/>
    <m/>
    <m/>
    <m/>
    <x v="4"/>
    <s v="Healthnes"/>
    <s v="Contact Center"/>
    <s v="Operaciones"/>
    <x v="3"/>
    <s v="Operador call center"/>
    <s v="Aste"/>
    <m/>
    <x v="0"/>
    <x v="0"/>
    <m/>
    <m/>
    <m/>
    <s v="Reemplazo"/>
    <m/>
    <s v="Muñoz M"/>
    <m/>
    <s v="Plazo Fijo"/>
    <m/>
    <m/>
    <s v="Lunes a Viernes 13 a 18 hs. Sábados 9 a 14 hs (25 hs)"/>
    <s v="CONTACT CENTER"/>
    <d v="2026-02-10T00:00:00"/>
    <d v="2026-02-23T00:00:00"/>
    <m/>
    <m/>
    <s v="NICOLE ALMARAZ"/>
    <s v="$710.649,96 bruto / $567.231,00 neto"/>
    <s v="130/75"/>
    <s v="No"/>
    <m/>
    <m/>
  </r>
  <r>
    <s v="00097"/>
    <d v="2026-01-07T00:00:00"/>
    <s v="Cerrada"/>
    <s v="Franco"/>
    <s v="Aprobada"/>
    <m/>
    <s v="No"/>
    <m/>
    <m/>
    <x v="0"/>
    <s v="Cobensil SA"/>
    <s v="Ventas Retail"/>
    <s v="Comercial"/>
    <x v="0"/>
    <s v="VENDEDOR/A"/>
    <s v="Serafin"/>
    <m/>
    <x v="0"/>
    <x v="0"/>
    <m/>
    <m/>
    <m/>
    <s v="Reemplazo"/>
    <m/>
    <s v="PUPPO, MARIA ALICIA"/>
    <m/>
    <s v="Inderminado "/>
    <m/>
    <m/>
    <s v="Lunes a Viernes de 10 a 18hs"/>
    <s v="Sede de Vicente Lopez (Av. Maipu 1680) "/>
    <d v="2026-01-22T00:00:00"/>
    <d v="2026-02-03T00:00:00"/>
    <m/>
    <m/>
    <s v="Aimar Thais Navas"/>
    <s v="$1.271.329,36 bruto /  $1.036.688,00 neto"/>
    <s v="130/75"/>
    <s v="No"/>
    <s v="No"/>
    <m/>
  </r>
  <r>
    <s v="00098"/>
    <d v="2026-01-07T00:00:00"/>
    <s v="Cerrada"/>
    <s v="Franco"/>
    <s v="Aprobada"/>
    <m/>
    <s v="No"/>
    <m/>
    <m/>
    <x v="0"/>
    <s v="Cobensil SA"/>
    <s v="Ventas Retail"/>
    <s v="Comercial"/>
    <x v="0"/>
    <s v="VENDEDOR/A"/>
    <s v="Serafin"/>
    <m/>
    <x v="0"/>
    <x v="0"/>
    <m/>
    <m/>
    <m/>
    <s v="Reemplazo"/>
    <m/>
    <s v="WARIDEL, MOIRA BELEN"/>
    <m/>
    <s v="Inderminado "/>
    <m/>
    <m/>
    <s v="Lunes a Viernes de 10 a 18hs"/>
    <s v="Sede Colegiales (Lacroze 3257)"/>
    <d v="2026-02-04T00:00:00"/>
    <d v="2026-02-10T00:00:00"/>
    <m/>
    <m/>
    <s v="MEABE BRANDA, MARIA PAULA"/>
    <s v="$1.271.329,36 bruto /  $1.036.688,00 neto"/>
    <s v="130/75"/>
    <s v="No"/>
    <s v="No"/>
    <s v="03/02/26 iba a ingresar una candidata pero se bajo el dia de la firma, se retoma proceso de busqueda"/>
  </r>
  <r>
    <s v="00099"/>
    <d v="2026-01-07T00:00:00"/>
    <s v="Cerrada"/>
    <s v="Ema"/>
    <s v="Aprobada"/>
    <m/>
    <m/>
    <m/>
    <m/>
    <x v="3"/>
    <s v="CIRENDSA"/>
    <s v="Enfermeria"/>
    <s v="Internación"/>
    <x v="6"/>
    <s v="Enfermero/a de Internación"/>
    <s v="Alvez"/>
    <m/>
    <x v="0"/>
    <x v="0"/>
    <m/>
    <m/>
    <m/>
    <s v="Reemplazo"/>
    <m/>
    <s v="HERVAS N"/>
    <m/>
    <s v="Eventual "/>
    <m/>
    <m/>
    <s v="22 A 6 HS eventual vacaciones"/>
    <s v="SANATORIO"/>
    <d v="2026-01-27T00:00:00"/>
    <d v="2026-02-02T00:00:00"/>
    <m/>
    <m/>
    <s v="DAIANA LUCERO DIAZ"/>
    <s v="$1.333.887,91 bruto /        $1.114.788,00 neto"/>
    <s v="122/75"/>
    <s v="No"/>
    <m/>
    <m/>
  </r>
  <r>
    <s v="00100"/>
    <d v="2026-01-07T00:00:00"/>
    <s v="Cerrada"/>
    <s v="Franco"/>
    <s v="Aprobada"/>
    <m/>
    <m/>
    <m/>
    <m/>
    <x v="0"/>
    <s v="Bristol Medicine SRL"/>
    <s v="Ventas Retail"/>
    <s v="Comercial"/>
    <x v="0"/>
    <s v="VENDEDOR/A"/>
    <s v="Serafin"/>
    <m/>
    <x v="0"/>
    <x v="0"/>
    <m/>
    <m/>
    <m/>
    <s v="Reemplazo"/>
    <m/>
    <s v="HEILMAN, ADOLFO DANIEL"/>
    <m/>
    <s v="Inderminado "/>
    <m/>
    <m/>
    <s v="Lunes a Viernes de 10 a 17hs"/>
    <s v="Bristol Cespedes"/>
    <d v="2026-02-05T00:00:00"/>
    <d v="2026-02-18T00:00:00"/>
    <m/>
    <m/>
    <s v="YANES, MATIAS"/>
    <s v="$961.576,34 bruto / $803.391,00 neto"/>
    <s v="108/75"/>
    <s v="No"/>
    <s v="No"/>
    <m/>
  </r>
  <r>
    <s v="00101"/>
    <d v="2026-01-07T00:00:00"/>
    <s v="Cerrada"/>
    <s v="Franco"/>
    <s v="Aprobada"/>
    <m/>
    <m/>
    <m/>
    <m/>
    <x v="0"/>
    <s v="Bristol Medicine SRL"/>
    <s v="Ventas Retail"/>
    <s v="Comercial"/>
    <x v="0"/>
    <s v="VENDEDOR/A"/>
    <s v="Serafin"/>
    <m/>
    <x v="0"/>
    <x v="0"/>
    <m/>
    <m/>
    <m/>
    <s v="Reemplazo"/>
    <m/>
    <s v="PONCHO HERRERA, GEMENIS YELIANNY"/>
    <m/>
    <s v="Inderminado "/>
    <m/>
    <m/>
    <s v="Lunes a Viernes de 10 a 17hs"/>
    <s v="Bristol Cespedes"/>
    <d v="2026-02-05T00:00:00"/>
    <d v="2026-02-18T00:00:00"/>
    <m/>
    <m/>
    <s v="CARVAJAL, PERLA"/>
    <s v="$961.576,34 bruto / $803.391,00 neto"/>
    <s v="108/75"/>
    <s v="No"/>
    <s v="No"/>
    <m/>
  </r>
  <r>
    <s v="00102"/>
    <d v="2026-01-07T00:00:00"/>
    <s v="Cerrada"/>
    <s v="Ema"/>
    <s v="Aprobada"/>
    <m/>
    <m/>
    <m/>
    <m/>
    <x v="3"/>
    <s v="CIRENDSA"/>
    <s v="Cirugía"/>
    <s v="Quirófano"/>
    <x v="5"/>
    <s v="INSTRUMENTADOR/A"/>
    <s v="Di Franco"/>
    <m/>
    <x v="0"/>
    <x v="0"/>
    <m/>
    <m/>
    <m/>
    <s v="Reemplazo"/>
    <m/>
    <s v="Pertinez J"/>
    <m/>
    <s v="Eventual "/>
    <m/>
    <m/>
    <s v="L A S 15 A 23 HS. FERIADO ROTATIVO"/>
    <s v="SANATORIO"/>
    <d v="2026-02-03T00:00:00"/>
    <d v="2026-02-09T00:00:00"/>
    <m/>
    <m/>
    <s v="STELLA MARIS CARABAJAL"/>
    <m/>
    <s v="122/75"/>
    <s v="No"/>
    <m/>
    <m/>
  </r>
  <r>
    <s v="00103"/>
    <d v="2026-01-07T00:00:00"/>
    <s v="Cerrada"/>
    <s v="Ema"/>
    <s v="Aprobada"/>
    <m/>
    <m/>
    <m/>
    <m/>
    <x v="3"/>
    <s v="CIRENDSA"/>
    <s v="Enfermeria"/>
    <s v="Internación"/>
    <x v="6"/>
    <s v="Enfermero/a de Internación"/>
    <s v="Alvez"/>
    <m/>
    <x v="0"/>
    <x v="0"/>
    <m/>
    <m/>
    <m/>
    <s v="Reemplazo"/>
    <m/>
    <s v="Mendoza A"/>
    <m/>
    <s v="Eventual "/>
    <m/>
    <m/>
    <s v="6 A 14 HS eventual vacaciones                "/>
    <s v="SANATORIO"/>
    <d v="2026-01-15T00:00:00"/>
    <d v="2026-02-02T00:00:00"/>
    <m/>
    <m/>
    <s v="ISABEL MAMANI"/>
    <s v="$1.223.571,44  bruto /       $1.024.328,50 neto"/>
    <s v="122/75"/>
    <s v="No"/>
    <m/>
    <m/>
  </r>
  <r>
    <s v="00104"/>
    <d v="2026-01-07T00:00:00"/>
    <s v="Cerrada"/>
    <s v="Ema"/>
    <s v="Aprobada"/>
    <m/>
    <m/>
    <m/>
    <m/>
    <x v="3"/>
    <s v="CIRENDSA"/>
    <s v="Enfermeria"/>
    <s v="Internación"/>
    <x v="6"/>
    <s v="Enfermero/a de Internación"/>
    <s v="Alvez"/>
    <m/>
    <x v="0"/>
    <x v="0"/>
    <m/>
    <s v="Baja"/>
    <s v="Media"/>
    <s v="Reemplazo"/>
    <m/>
    <s v="Mazars M"/>
    <m/>
    <s v="Inderminado "/>
    <m/>
    <m/>
    <s v="14 A 22 HS"/>
    <s v="SANATORIO"/>
    <d v="2026-03-11T00:00:00"/>
    <d v="2026-03-20T00:00:00"/>
    <m/>
    <m/>
    <s v="RAQUEL POMASONCCO"/>
    <s v="$1.223.571,44  bruto /       $1.024.328,50 neto"/>
    <s v="122/75"/>
    <s v="No"/>
    <s v="No"/>
    <m/>
  </r>
  <r>
    <s v="00105"/>
    <d v="2026-01-08T00:00:00"/>
    <s v="Cerrada"/>
    <s v="Fer"/>
    <s v="Aprobada"/>
    <m/>
    <m/>
    <m/>
    <m/>
    <x v="4"/>
    <s v="Cober"/>
    <s v="Gestión de las Personas"/>
    <s v="Administración y Finanzas"/>
    <x v="7"/>
    <s v="Analista de Onboarding "/>
    <s v="Ezequiel"/>
    <m/>
    <x v="0"/>
    <x v="0"/>
    <m/>
    <m/>
    <m/>
    <s v="Reemplazo"/>
    <m/>
    <m/>
    <m/>
    <s v="Inderminado "/>
    <m/>
    <m/>
    <s v="8 a 17hs"/>
    <s v="La Musa"/>
    <d v="2026-01-23T00:00:00"/>
    <d v="2026-01-26T00:00:00"/>
    <m/>
    <m/>
    <s v="Mayra Distéfano"/>
    <s v="$1.500.000 neto"/>
    <m/>
    <s v="No"/>
    <s v="No"/>
    <s v="Se netrevistaron 6 candidatos, pasan a entrevista con Sergio Mayra, Juan y Johana el 15 y 16-01, se envia a preo Mayra el 19-01"/>
  </r>
  <r>
    <s v="00106"/>
    <d v="2026-01-08T00:00:00"/>
    <s v="Cerrada"/>
    <s v="Ema"/>
    <s v="Aprobada"/>
    <m/>
    <m/>
    <m/>
    <m/>
    <x v="3"/>
    <s v="CIRENDSA"/>
    <s v="Enfermeria"/>
    <s v="Internación"/>
    <x v="6"/>
    <s v="Enfermero/a de Internación"/>
    <s v="Alvez"/>
    <m/>
    <x v="0"/>
    <x v="0"/>
    <m/>
    <s v="Baja"/>
    <s v="Media"/>
    <s v="Reemplazo"/>
    <m/>
    <s v="Lavadenz D"/>
    <m/>
    <s v="Inderminado "/>
    <m/>
    <m/>
    <s v="14 A 22 HS"/>
    <s v="SANATORIO"/>
    <d v="2026-03-11T00:00:00"/>
    <d v="2026-03-20T00:00:00"/>
    <m/>
    <m/>
    <s v="JOHANNA HUARACHI"/>
    <s v="$1.223.571,44  bruto /       $1.024.328,50 neto"/>
    <s v="122/75"/>
    <s v="No"/>
    <s v="No"/>
    <s v="CM TT"/>
  </r>
  <r>
    <s v="00107"/>
    <d v="2026-01-09T00:00:00"/>
    <s v="Cerrada"/>
    <s v="Ema"/>
    <s v="Aprobada"/>
    <m/>
    <m/>
    <m/>
    <m/>
    <x v="3"/>
    <s v="CIRENDSA"/>
    <s v="Hotelería"/>
    <s v="Internación"/>
    <x v="4"/>
    <s v="MUCAMO/A"/>
    <s v="Valeria Dodero"/>
    <m/>
    <x v="0"/>
    <x v="0"/>
    <m/>
    <m/>
    <m/>
    <s v="Reemplazo"/>
    <m/>
    <s v="Aprea C"/>
    <m/>
    <s v="Plazo Fijo"/>
    <m/>
    <m/>
    <s v="14-22 HS"/>
    <s v="SANATORIO"/>
    <d v="2026-01-15T00:00:00"/>
    <d v="2026-01-23T00:00:00"/>
    <m/>
    <m/>
    <s v="YESICA MATURANO"/>
    <s v="$1.052.963,43  bruto /       $875.067,00 neto"/>
    <s v="122/75"/>
    <s v="No"/>
    <m/>
    <m/>
  </r>
  <r>
    <s v="00108"/>
    <d v="2026-01-09T00:00:00"/>
    <s v="Cerrada"/>
    <s v="Ema"/>
    <s v="Aprobada"/>
    <m/>
    <m/>
    <m/>
    <m/>
    <x v="3"/>
    <s v="CIRENDSA"/>
    <s v="Enfermeria"/>
    <s v="Terapia Intensiva"/>
    <x v="6"/>
    <s v="Enfermero/a de Terapia Intensiva"/>
    <s v="Alvez"/>
    <m/>
    <x v="0"/>
    <x v="0"/>
    <m/>
    <m/>
    <m/>
    <s v="Reemplazo"/>
    <m/>
    <s v="Vacante TM"/>
    <m/>
    <s v="Plazo Fijo"/>
    <m/>
    <m/>
    <s v="6 A 14 HS"/>
    <s v="SANATORIO"/>
    <d v="2026-02-19T00:00:00"/>
    <d v="2026-02-23T00:00:00"/>
    <m/>
    <m/>
    <s v="SOFIA PTASIK"/>
    <s v="$1.444.204,15  bruto /       $1.205.247,26 neto"/>
    <s v="122/75"/>
    <s v="No"/>
    <m/>
    <m/>
  </r>
  <r>
    <s v="00109"/>
    <d v="2026-01-11T00:00:00"/>
    <s v="Cerrada"/>
    <s v="Ema"/>
    <s v="Aprobada"/>
    <m/>
    <m/>
    <m/>
    <m/>
    <x v="3"/>
    <s v="CIRENDSA"/>
    <s v="Hotelería"/>
    <s v="Internación"/>
    <x v="4"/>
    <s v="MUCAMO/A"/>
    <s v="Valeria Dodero"/>
    <m/>
    <x v="0"/>
    <x v="0"/>
    <m/>
    <m/>
    <m/>
    <s v="Reemplazo"/>
    <m/>
    <s v="Vacaciones"/>
    <m/>
    <s v="Eventual "/>
    <m/>
    <m/>
    <s v="6-14 HS eventual por vacaciones"/>
    <s v="SANATORIO"/>
    <d v="2026-01-15T00:00:00"/>
    <d v="2026-02-09T00:00:00"/>
    <m/>
    <m/>
    <s v="YANINA TORREZ"/>
    <s v="$1.052.963,43  bruto /       $875.067,00 neto"/>
    <s v="122/75"/>
    <s v="No"/>
    <m/>
    <m/>
  </r>
  <r>
    <s v="00110"/>
    <d v="2026-01-12T00:00:00"/>
    <s v="Cerrada"/>
    <s v="Ema"/>
    <s v="Aprobada"/>
    <m/>
    <m/>
    <m/>
    <m/>
    <x v="3"/>
    <s v="CIRENDSA"/>
    <s v="Cirugía"/>
    <s v="Quirófano"/>
    <x v="6"/>
    <s v="Enfermero/a de Quirófano"/>
    <s v="Alvez"/>
    <m/>
    <x v="0"/>
    <x v="0"/>
    <m/>
    <m/>
    <m/>
    <s v="Reemplazo"/>
    <m/>
    <s v="Acosta F/Terrazas Branko"/>
    <m/>
    <s v="Plazo Fijo"/>
    <m/>
    <m/>
    <s v="Lunes a Sábados 15 a 23 hs"/>
    <s v="SANATORIO"/>
    <d v="2026-02-19T00:00:00"/>
    <d v="2026-02-23T00:00:00"/>
    <m/>
    <m/>
    <s v="LUISA SANDOVAL"/>
    <s v="$1.481.645,21 bruto /        $1.235.949,00 neto"/>
    <s v="122/75"/>
    <s v="No"/>
    <m/>
    <s v="16/1 entrevista"/>
  </r>
  <r>
    <s v="00111"/>
    <d v="2026-01-13T00:00:00"/>
    <n v="105"/>
    <s v="Juanpi"/>
    <s v="Aprobada"/>
    <m/>
    <s v="Si"/>
    <m/>
    <m/>
    <x v="4"/>
    <m/>
    <s v="Comunicación"/>
    <s v="Marketing"/>
    <x v="1"/>
    <s v="Gerente/a de Marketing"/>
    <s v="Emilio Zalis"/>
    <s v="Maria Rodriguez"/>
    <x v="2"/>
    <x v="2"/>
    <d v="2026-06-15T00:00:00"/>
    <s v="Alta"/>
    <s v="Alta "/>
    <s v="Reemplazo"/>
    <m/>
    <s v="Verónica Casati"/>
    <m/>
    <s v="Inderminado "/>
    <m/>
    <m/>
    <m/>
    <m/>
    <m/>
    <m/>
    <m/>
    <m/>
    <m/>
    <m/>
    <m/>
    <m/>
    <m/>
    <s v="18/11 entrevista María Rodríguez / se vuelve a alinear el perfil. hunting en linkedIn/ EL 15/12 entrevistamos 2do candidato para presentar a Emilio, 16/12 Emilió quedó en planificar entrevista con candidato, según maria. 19/12 aún no se ha dado la segunda entrevista"/>
  </r>
  <r>
    <s v="00112"/>
    <d v="2026-01-13T00:00:00"/>
    <s v="Cerrada"/>
    <s v="Jose"/>
    <s v="Aprobada"/>
    <m/>
    <m/>
    <m/>
    <m/>
    <x v="8"/>
    <s v="Deragopyan"/>
    <s v="Laboratorio"/>
    <s v="Servicios de Apoyo"/>
    <x v="5"/>
    <s v="BIOQUIMICO/A"/>
    <s v="Rocio Scarcelli"/>
    <m/>
    <x v="0"/>
    <x v="0"/>
    <m/>
    <m/>
    <m/>
    <s v="Reemplazo"/>
    <m/>
    <s v="Eliana Ferola"/>
    <m/>
    <s v="Plazo Fijo"/>
    <m/>
    <m/>
    <s v="L a V de 09h a 15h, Sábado de 8h a 12h"/>
    <s v="Belgrano "/>
    <m/>
    <d v="2026-02-23T00:00:00"/>
    <m/>
    <m/>
    <s v="Moreangelys Evia"/>
    <n v="2291699.17"/>
    <m/>
    <s v="Ok"/>
    <m/>
    <m/>
  </r>
  <r>
    <s v="00113"/>
    <d v="2026-01-13T00:00:00"/>
    <n v="105"/>
    <s v="Juanpi"/>
    <s v="Aprobada"/>
    <m/>
    <s v="Si"/>
    <s v="No"/>
    <m/>
    <x v="0"/>
    <m/>
    <s v="Business Inteligence"/>
    <s v="Administración y Finanzas"/>
    <x v="1"/>
    <s v="Líder de Datos y Negocios Digitales"/>
    <s v="Ignacio Jauregui"/>
    <s v="Maria Rodriguez"/>
    <x v="2"/>
    <x v="3"/>
    <d v="2026-06-15T00:00:00"/>
    <s v="Alta"/>
    <s v="Alta "/>
    <s v="Apertura de puesto"/>
    <m/>
    <m/>
    <m/>
    <s v="Inderminado "/>
    <m/>
    <m/>
    <m/>
    <m/>
    <m/>
    <m/>
    <m/>
    <m/>
    <m/>
    <m/>
    <m/>
    <m/>
    <m/>
    <s v="Cuadro reemplazo de Ignacio Jauregui"/>
  </r>
  <r>
    <s v="00114"/>
    <d v="2026-01-13T00:00:00"/>
    <n v="105"/>
    <s v="Franco"/>
    <s v="Aprobada"/>
    <m/>
    <m/>
    <m/>
    <m/>
    <x v="3"/>
    <m/>
    <s v="Mantenimiento"/>
    <s v="Servicios de Apoyo"/>
    <x v="10"/>
    <s v="OFICIAL DE MANTENIMIENTO"/>
    <s v="Erika Rodriguez"/>
    <m/>
    <x v="3"/>
    <x v="4"/>
    <d v="2026-05-11T00:00:00"/>
    <s v="Baja"/>
    <s v="Alta "/>
    <s v="Reemplazo"/>
    <m/>
    <s v="GALLARDO, JULIO RODRIGO (156867)"/>
    <m/>
    <s v="Inderminado "/>
    <m/>
    <m/>
    <s v="Lunes a Sábados de 14 a 21hs"/>
    <s v="Sanatorio "/>
    <d v="2026-03-26T00:00:00"/>
    <d v="2026-04-01T00:00:00"/>
    <s v="Externa"/>
    <m/>
    <m/>
    <s v="$1.296.567,92 bruto / $1.083.341,50 neto"/>
    <m/>
    <s v="No"/>
    <s v="No"/>
    <s v="Se envia a preoc a candidato el 18/2, se lo recita para que realice rayos"/>
  </r>
  <r>
    <s v="00115"/>
    <d v="2026-01-13T00:00:00"/>
    <s v="Cerrada"/>
    <s v="Ema"/>
    <s v="Aprobada"/>
    <m/>
    <m/>
    <m/>
    <m/>
    <x v="3"/>
    <m/>
    <s v="Clínica Médica"/>
    <s v="Clinica Medica"/>
    <x v="2"/>
    <s v="MEDICO/A"/>
    <s v="Barone"/>
    <m/>
    <x v="4"/>
    <x v="5"/>
    <m/>
    <m/>
    <m/>
    <s v="Reemplazo"/>
    <m/>
    <s v="Goldstein G"/>
    <m/>
    <s v="Inderminado "/>
    <m/>
    <m/>
    <m/>
    <s v="SANATORIO"/>
    <m/>
    <m/>
    <m/>
    <m/>
    <m/>
    <m/>
    <m/>
    <m/>
    <m/>
    <s v="16/1 entrevista"/>
  </r>
  <r>
    <s v="00116"/>
    <d v="2026-01-14T00:00:00"/>
    <s v="Cerrada"/>
    <s v="Jose"/>
    <s v="Aprobada"/>
    <m/>
    <m/>
    <m/>
    <m/>
    <x v="4"/>
    <s v="Cobensil"/>
    <s v="Performance"/>
    <s v="Marketing"/>
    <x v="7"/>
    <s v="Analista de performace"/>
    <s v="Atili"/>
    <m/>
    <x v="0"/>
    <x v="0"/>
    <m/>
    <s v="Media "/>
    <s v="Alta "/>
    <s v="Reemplazo"/>
    <m/>
    <s v="Sofia Kantorowikcs "/>
    <m/>
    <s v="Inderminado "/>
    <m/>
    <m/>
    <s v="L a V de 09h a 18h"/>
    <s v="Cramer"/>
    <d v="2026-03-02T00:00:00"/>
    <d v="2026-03-09T00:00:00"/>
    <s v="Externa"/>
    <s v="Computrabajo "/>
    <s v="Jasmín Rojas Canchi"/>
    <s v="1.500.000 netos"/>
    <s v="FUCO"/>
    <s v="Ok"/>
    <m/>
    <m/>
  </r>
  <r>
    <s v="00117"/>
    <d v="2026-01-14T00:00:00"/>
    <s v="Cerrada"/>
    <s v="Ema"/>
    <s v="Aprobada"/>
    <m/>
    <m/>
    <m/>
    <m/>
    <x v="3"/>
    <s v="CIRENDSA"/>
    <s v="Enfermeria"/>
    <s v="INTERNACION"/>
    <x v="6"/>
    <s v="Enfermero/a de Internación"/>
    <s v="Noelia Alvez"/>
    <m/>
    <x v="0"/>
    <x v="0"/>
    <m/>
    <s v="Baja"/>
    <s v="Alta "/>
    <s v="Reemplazo"/>
    <m/>
    <s v="Sanjines Fabiola"/>
    <m/>
    <s v="Inderminado "/>
    <m/>
    <m/>
    <s v="TM - 6 a 14 hs"/>
    <s v="SANATORIO"/>
    <d v="2026-03-23T00:00:00"/>
    <d v="2026-04-08T00:00:00"/>
    <m/>
    <m/>
    <s v="JESSICA LOPEZ"/>
    <s v="$1.223.571,44  bruto /       $1.024.328,50 neto"/>
    <s v="122/75"/>
    <s v="No"/>
    <s v="No"/>
    <s v="CM TM"/>
  </r>
  <r>
    <s v="00118"/>
    <d v="2026-01-14T00:00:00"/>
    <s v="Cerrada"/>
    <s v="Ema"/>
    <s v="Aprobada"/>
    <m/>
    <m/>
    <m/>
    <m/>
    <x v="3"/>
    <s v="CIRENDSA"/>
    <s v="Enfermeria"/>
    <s v="INTERNACION"/>
    <x v="6"/>
    <s v="Enfermero/a de Internación"/>
    <s v="Noelia Alvez"/>
    <m/>
    <x v="0"/>
    <x v="0"/>
    <m/>
    <s v="Baja"/>
    <s v="Alta "/>
    <s v="Reemplazo"/>
    <m/>
    <s v="Ordoñez Juan Pablo "/>
    <m/>
    <s v="Inderminado "/>
    <m/>
    <m/>
    <s v="TT - 14 a 22 hs"/>
    <s v="SANATORIO"/>
    <d v="2026-03-23T00:00:00"/>
    <d v="2026-04-08T00:00:00"/>
    <m/>
    <m/>
    <s v="VIRGINIA AYALA"/>
    <s v="$1.223.571,44  bruto /       $1.024.328,50 neto"/>
    <s v="122/75"/>
    <s v="No"/>
    <s v="No"/>
    <s v="CM TT"/>
  </r>
  <r>
    <s v="00119"/>
    <d v="2026-01-15T00:00:00"/>
    <s v="Cerrada"/>
    <s v="Franco"/>
    <s v="Cancelada"/>
    <m/>
    <m/>
    <m/>
    <m/>
    <x v="3"/>
    <m/>
    <s v="Comercial"/>
    <s v="Administración y Finanzas"/>
    <x v="0"/>
    <s v="Ejecutivo Comercial"/>
    <s v="Poeta"/>
    <m/>
    <x v="1"/>
    <x v="1"/>
    <m/>
    <m/>
    <m/>
    <s v="Reemplazo"/>
    <m/>
    <s v="Camila Espindola"/>
    <m/>
    <s v="Inderminado "/>
    <m/>
    <m/>
    <m/>
    <m/>
    <m/>
    <m/>
    <m/>
    <m/>
    <m/>
    <m/>
    <m/>
    <m/>
    <m/>
    <m/>
  </r>
  <r>
    <s v="00120"/>
    <d v="2026-01-16T00:00:00"/>
    <s v="Cerrada"/>
    <s v="Franco"/>
    <s v="Aprobada"/>
    <m/>
    <m/>
    <m/>
    <m/>
    <x v="3"/>
    <s v="CIRENDSA"/>
    <s v="Mantenimiento"/>
    <s v="Servicios de Apoyo"/>
    <x v="10"/>
    <s v="OFICIAL DE MANTENIMIENTO"/>
    <s v="Erika"/>
    <m/>
    <x v="0"/>
    <x v="0"/>
    <m/>
    <m/>
    <m/>
    <s v="Reemplazo"/>
    <m/>
    <s v="Braian Miguel Rojas"/>
    <m/>
    <s v="Plazo Fijo"/>
    <m/>
    <m/>
    <s v="Lunes a Sabados de 14 a 22hs"/>
    <s v="SANATORIO"/>
    <d v="2026-02-12T00:00:00"/>
    <d v="2026-02-23T00:00:00"/>
    <m/>
    <m/>
    <s v="SABALA SANTIAGO LIONEL"/>
    <s v="$1.296.567,92 bruto / $1.083.341,50 neto"/>
    <s v="122/75"/>
    <s v="No"/>
    <s v="No"/>
    <m/>
  </r>
  <r>
    <s v="00121"/>
    <d v="2026-01-23T00:00:00"/>
    <s v="Cerrada"/>
    <s v="Ema"/>
    <s v="Aprobada"/>
    <m/>
    <m/>
    <m/>
    <m/>
    <x v="3"/>
    <s v="CIRENDSA"/>
    <s v="Enfermeria"/>
    <s v="Internación"/>
    <x v="6"/>
    <s v="Enfermero/a de Internación"/>
    <s v="Alvez"/>
    <m/>
    <x v="0"/>
    <x v="0"/>
    <m/>
    <m/>
    <m/>
    <s v="Reemplazo"/>
    <m/>
    <s v="Gomez S - Vacaciones"/>
    <m/>
    <s v="Eventual "/>
    <m/>
    <m/>
    <s v="22 A 6 HS eventual vacaciones"/>
    <s v="SANATORIO"/>
    <d v="2026-01-27T00:00:00"/>
    <d v="2026-02-02T00:00:00"/>
    <m/>
    <m/>
    <s v="AUDREY PULIDO"/>
    <s v="$1.333.887,91  bruto /       $1.114.788,00 neto"/>
    <s v="122/75"/>
    <s v="No"/>
    <m/>
    <m/>
  </r>
  <r>
    <s v="00122"/>
    <d v="2026-01-23T00:00:00"/>
    <s v="Cerrada"/>
    <s v="Franco"/>
    <s v="Aprobada"/>
    <m/>
    <m/>
    <m/>
    <m/>
    <x v="0"/>
    <s v="Cobensil"/>
    <s v="Cobranzas"/>
    <s v="Administración y Finanzas"/>
    <x v="0"/>
    <s v="Cobrador/a"/>
    <s v="Florencia Rodriguez"/>
    <m/>
    <x v="0"/>
    <x v="0"/>
    <m/>
    <s v="Baja"/>
    <s v="Media"/>
    <s v="Reemplazo"/>
    <m/>
    <s v="Montserrat Diaz "/>
    <m/>
    <s v="Inderminado "/>
    <m/>
    <m/>
    <s v="Lunes a Viernes de 11h a 20hs, Sábado x medio de 9 a 13hs (Full Time)"/>
    <s v="Ravignani"/>
    <d v="2026-03-13T00:00:00"/>
    <d v="2026-04-06T00:00:00"/>
    <m/>
    <m/>
    <s v="Gabriel de Jesus Villegas Hernandez"/>
    <s v="$1.264.501,68 bruto / $1.036.340,00 neto"/>
    <s v="130/75"/>
    <s v="No"/>
    <s v="No"/>
    <m/>
  </r>
  <r>
    <s v="00123"/>
    <d v="2026-01-24T00:00:00"/>
    <s v="Cerrada"/>
    <s v="Ema"/>
    <s v="Aprobada"/>
    <m/>
    <m/>
    <m/>
    <m/>
    <x v="3"/>
    <s v="CIRENDSA"/>
    <s v="Hotelería"/>
    <s v="Internación"/>
    <x v="4"/>
    <s v="MUCAMO/A"/>
    <s v="Valeria Dodero"/>
    <m/>
    <x v="0"/>
    <x v="0"/>
    <m/>
    <m/>
    <m/>
    <s v="Reemplazo"/>
    <m/>
    <s v="Marquez Marisa"/>
    <m/>
    <s v="Eventual "/>
    <m/>
    <m/>
    <s v="14-22 HS"/>
    <s v="SANATORIO"/>
    <d v="2026-02-11T00:00:00"/>
    <d v="2026-02-11T00:00:00"/>
    <m/>
    <m/>
    <s v="ALICIA CANDIA"/>
    <s v="$1.052.963,43  bruto /       $875.067,00 neto"/>
    <s v="122/75"/>
    <s v="No"/>
    <s v="No"/>
    <m/>
  </r>
  <r>
    <s v="00124"/>
    <d v="2026-01-24T00:00:00"/>
    <s v="Cerrada"/>
    <s v="Ema"/>
    <s v="Aprobada"/>
    <m/>
    <m/>
    <m/>
    <m/>
    <x v="3"/>
    <s v="CIRENDSA"/>
    <s v="Hotelería"/>
    <s v="Internación"/>
    <x v="4"/>
    <s v="MUCAMO/A"/>
    <s v="Valeria Dodero"/>
    <m/>
    <x v="0"/>
    <x v="0"/>
    <m/>
    <m/>
    <m/>
    <s v="Reemplazo"/>
    <m/>
    <s v="Aguirre A"/>
    <m/>
    <s v="Plazo Fijo"/>
    <m/>
    <m/>
    <s v="14-22 HS"/>
    <s v="SANATORIO"/>
    <d v="2026-01-30T00:00:00"/>
    <d v="2026-02-09T00:00:00"/>
    <m/>
    <m/>
    <s v="CARMEN KLOZ"/>
    <s v="$1.052.963,43  bruto /       $875.067,00 neto"/>
    <s v="122/75"/>
    <s v="No"/>
    <m/>
    <m/>
  </r>
  <r>
    <s v="00125"/>
    <d v="2026-01-24T00:00:00"/>
    <s v="Cerrada"/>
    <s v="Ema"/>
    <s v="Aprobada"/>
    <m/>
    <m/>
    <m/>
    <m/>
    <x v="3"/>
    <s v="CIRENDSA"/>
    <s v="Servicio de Alimentación"/>
    <s v="Servicios de Apoyo"/>
    <x v="4"/>
    <s v="PEON"/>
    <s v="Cordoba"/>
    <m/>
    <x v="0"/>
    <x v="0"/>
    <m/>
    <m/>
    <m/>
    <s v="Reemplazo"/>
    <m/>
    <s v="Gutierrez Maxi - Vacaciones"/>
    <m/>
    <s v="Eventual "/>
    <m/>
    <m/>
    <s v="ROTATIVO entre 6-14 hs/14-22 hs/22-6 hs segun cronograma"/>
    <s v="SANATORIO"/>
    <d v="2026-01-28T00:00:00"/>
    <d v="2026-02-02T00:00:00"/>
    <m/>
    <m/>
    <s v="JOSE LUIS INSFRAN"/>
    <s v="$1.053.063,43  bruto /       $875.148,00 neto"/>
    <s v="122/75"/>
    <s v="No"/>
    <m/>
    <m/>
  </r>
  <r>
    <s v="00126"/>
    <d v="2026-01-24T00:00:00"/>
    <s v="Cerrada"/>
    <s v="Ema"/>
    <s v="Aprobada"/>
    <m/>
    <m/>
    <m/>
    <m/>
    <x v="3"/>
    <s v="CIRENDSA"/>
    <s v="Hotelería"/>
    <s v="Internación"/>
    <x v="4"/>
    <s v="MUCAMO/A"/>
    <s v="Valeria Dodero"/>
    <m/>
    <x v="0"/>
    <x v="0"/>
    <m/>
    <s v="Baja"/>
    <s v="Media"/>
    <s v="Reemplazo"/>
    <m/>
    <s v="Jerez Tatiana"/>
    <m/>
    <s v="Plazo Fijo"/>
    <m/>
    <m/>
    <s v="14 A 22 HS"/>
    <s v="SANATORIO"/>
    <d v="2026-03-03T00:00:00"/>
    <d v="2026-03-09T00:00:00"/>
    <m/>
    <m/>
    <s v="BRISA CONGO"/>
    <s v="$1.052.963,43 bruto /         $875.067,00 neto"/>
    <s v="122/75"/>
    <s v="No"/>
    <m/>
    <m/>
  </r>
  <r>
    <s v="00127"/>
    <d v="2026-01-26T00:00:00"/>
    <s v="Cerrada"/>
    <s v="Franco"/>
    <s v="Aprobada"/>
    <m/>
    <m/>
    <m/>
    <m/>
    <x v="5"/>
    <m/>
    <s v="Mantenimiento"/>
    <s v="Servicios de Apoyo"/>
    <x v="10"/>
    <s v="OFICIAL DE MANTENIMIENTO"/>
    <s v="Federico Carrasquera"/>
    <m/>
    <x v="0"/>
    <x v="0"/>
    <m/>
    <s v="Media"/>
    <s v="Alta "/>
    <s v="Reemplazo"/>
    <m/>
    <s v="Roberto Gonzalez"/>
    <m/>
    <s v="Inderminado "/>
    <m/>
    <m/>
    <s v="L/V de 8-16 / S-9-13 hs"/>
    <s v="CMV"/>
    <d v="2026-03-10T00:00:00"/>
    <d v="2026-03-13T00:00:00"/>
    <s v="Externa"/>
    <m/>
    <s v="Ignacio Rupchich"/>
    <s v="Bruto: 1533347,52"/>
    <s v="Comercio 130/75"/>
    <s v="No"/>
    <s v="No"/>
    <s v="Se entrevistaron 7 personas, pasa a preo Marcelo Garavilli el 3-02, el 5-02 el candidato se da de baja por otra mejor oferta laboral. se entrevistaron 3 personas, pasa a preo Lucas Barraza 20-02"/>
  </r>
  <r>
    <s v="00128"/>
    <d v="2026-01-26T00:00:00"/>
    <s v="Cerrada"/>
    <s v="Ema"/>
    <s v="Cancelada"/>
    <m/>
    <m/>
    <m/>
    <m/>
    <x v="3"/>
    <m/>
    <s v="Servicio de Alimentación"/>
    <s v="Servicios de Apoyo"/>
    <x v="4"/>
    <s v="PEON"/>
    <s v="Cordoba"/>
    <m/>
    <x v="1"/>
    <x v="1"/>
    <m/>
    <m/>
    <m/>
    <s v="Reemplazo"/>
    <m/>
    <s v="Ortiz L"/>
    <m/>
    <s v="Inderminado "/>
    <m/>
    <m/>
    <m/>
    <m/>
    <m/>
    <m/>
    <m/>
    <m/>
    <m/>
    <m/>
    <m/>
    <m/>
    <m/>
    <m/>
  </r>
  <r>
    <s v="00129"/>
    <d v="2026-01-30T00:00:00"/>
    <s v="Cerrada"/>
    <s v="Ema"/>
    <s v="Aprobada"/>
    <m/>
    <m/>
    <m/>
    <m/>
    <x v="3"/>
    <s v="CIRENDSA"/>
    <s v="Hotelería"/>
    <s v="Internación"/>
    <x v="4"/>
    <s v="MUCAMO/A"/>
    <s v="Valeria Dodero"/>
    <m/>
    <x v="0"/>
    <x v="0"/>
    <m/>
    <s v="Baja"/>
    <s v="Media"/>
    <s v="Reemplazo"/>
    <m/>
    <s v="Baptista G"/>
    <m/>
    <s v="Inderminado "/>
    <m/>
    <m/>
    <s v="14 A 22 HS"/>
    <s v="SANATORIO"/>
    <d v="2026-03-23T00:00:00"/>
    <d v="2026-04-08T00:00:00"/>
    <m/>
    <m/>
    <s v="MARIA VICTORIA PEREZ"/>
    <s v="$1.052.963,43 bruto /         $875.067,00 neto"/>
    <s v="122/75"/>
    <s v="No"/>
    <m/>
    <s v="No se presenta a firmar la postulante"/>
  </r>
  <r>
    <s v="00130"/>
    <d v="2026-01-31T00:00:00"/>
    <s v="Cerrada"/>
    <s v="Ema"/>
    <s v="Aprobada"/>
    <m/>
    <m/>
    <m/>
    <m/>
    <x v="3"/>
    <s v="CIRENDSA"/>
    <s v="Admisión"/>
    <s v="Consultorios Externos"/>
    <x v="3"/>
    <s v="Administrativo/a de Consultoríos Externos"/>
    <s v="Gomez"/>
    <m/>
    <x v="0"/>
    <x v="0"/>
    <m/>
    <s v="Baja"/>
    <s v="Media"/>
    <s v="Reemplazo"/>
    <m/>
    <s v="Molina J"/>
    <m/>
    <s v="Inderminado "/>
    <m/>
    <m/>
    <s v="Lunes a Viernes 14 a 20 hs. Sábado por medio 7 a 13 hs"/>
    <s v="SANATORIO"/>
    <d v="2026-03-03T00:00:00"/>
    <d v="2026-03-09T00:00:00"/>
    <m/>
    <m/>
    <s v="VICTORIA OCHOA"/>
    <s v="$842.805,08  bruto /       $697.077,50 neto"/>
    <s v="122/75"/>
    <s v="No"/>
    <m/>
    <m/>
  </r>
  <r>
    <s v="00131"/>
    <d v="2026-01-31T00:00:00"/>
    <s v="Cerrada"/>
    <s v="Ema"/>
    <s v="Aprobada"/>
    <m/>
    <m/>
    <m/>
    <m/>
    <x v="3"/>
    <s v="CIRENDSA"/>
    <s v="Admisión"/>
    <s v="Consultorios Externos"/>
    <x v="3"/>
    <s v="Administrativo/a de Consultoríos Externos"/>
    <s v="Gomez"/>
    <m/>
    <x v="0"/>
    <x v="0"/>
    <m/>
    <s v="Baja"/>
    <s v="Media"/>
    <s v="Reemplazo"/>
    <m/>
    <s v="Montero M"/>
    <m/>
    <s v="Inderminado "/>
    <m/>
    <m/>
    <s v="Lunes a Viernes 14 a 20 hs. Sábado por medio 7 a 13 hs"/>
    <s v="SANATORIO"/>
    <d v="2026-03-03T00:00:00"/>
    <d v="2026-03-09T00:00:00"/>
    <m/>
    <m/>
    <s v="MARTINA TERRAZAS"/>
    <s v="$842.805,08  bruto /       $697.077,50 neto"/>
    <s v="122/75"/>
    <s v="No"/>
    <m/>
    <m/>
  </r>
  <r>
    <s v="00132"/>
    <d v="2026-02-01T00:00:00"/>
    <s v="Cerrada"/>
    <s v="Ema"/>
    <s v="Aprobada"/>
    <m/>
    <m/>
    <m/>
    <m/>
    <x v="3"/>
    <s v="CIRENDSA"/>
    <s v="Enfermeria"/>
    <s v="INTERNACION"/>
    <x v="6"/>
    <s v="Enfermero/a de Internación"/>
    <s v="Noelia Alvez"/>
    <m/>
    <x v="0"/>
    <x v="0"/>
    <m/>
    <s v="Baja"/>
    <s v="Alta "/>
    <s v="Reemplazo"/>
    <m/>
    <s v="Hinojosa Wendy"/>
    <m/>
    <s v="Inderminado "/>
    <m/>
    <m/>
    <s v="TT - 14 a 22 hs"/>
    <s v="SANATORIO"/>
    <d v="2026-03-29T00:00:00"/>
    <d v="2026-04-08T00:00:00"/>
    <m/>
    <m/>
    <s v="SHERLYN VALLE"/>
    <s v=" $1.223.571,44 bruto /_x0009_ $1.024.328,50 neto"/>
    <s v="122/75"/>
    <s v="No"/>
    <s v="No"/>
    <s v="CM TT"/>
  </r>
  <r>
    <s v="00133"/>
    <d v="2026-02-02T00:00:00"/>
    <s v="Cerrada"/>
    <s v="Ema"/>
    <s v="Aprobada"/>
    <m/>
    <m/>
    <m/>
    <m/>
    <x v="3"/>
    <s v="CIRENDSA"/>
    <s v="Hotelería"/>
    <s v="Internación"/>
    <x v="4"/>
    <s v="MUCAMO/A"/>
    <s v="Valeria Dodero"/>
    <m/>
    <x v="0"/>
    <x v="0"/>
    <m/>
    <m/>
    <m/>
    <s v="Reemplazo"/>
    <m/>
    <s v="Lic prolongada Mareque Andrea"/>
    <m/>
    <s v="Eventual "/>
    <m/>
    <m/>
    <s v="14 A 22 HS. Eventual por licencia prolongada de 159156 ANDREA MAREQUE"/>
    <s v="SANATORIO"/>
    <m/>
    <d v="2026-02-11T00:00:00"/>
    <m/>
    <m/>
    <s v="MARIA BELEN RIOS"/>
    <s v="$1.052.963,43 bruto /        $875.067,00 neto"/>
    <s v="122/75"/>
    <s v="No"/>
    <s v="No"/>
    <m/>
  </r>
  <r>
    <s v="00134"/>
    <d v="2026-02-02T00:00:00"/>
    <s v="Cerrada"/>
    <s v="Ema"/>
    <s v="Aprobada"/>
    <m/>
    <m/>
    <m/>
    <m/>
    <x v="3"/>
    <s v="CIRENDSA"/>
    <s v="Hotelería"/>
    <s v="Internación"/>
    <x v="4"/>
    <s v="MUCAMO/A"/>
    <s v="Valeria Dodero"/>
    <m/>
    <x v="0"/>
    <x v="0"/>
    <m/>
    <m/>
    <m/>
    <s v="Reemplazo"/>
    <m/>
    <s v="Lic prolongada Robles Marta"/>
    <m/>
    <s v="Eventual "/>
    <m/>
    <m/>
    <s v="14 A 22 HS. Eventual por licencia prolongada de 120019 ROBLES MARTA"/>
    <s v="SANATORIO"/>
    <d v="2026-02-19T00:00:00"/>
    <d v="2026-02-23T00:00:00"/>
    <m/>
    <m/>
    <s v="AYELEN SANCHEZ"/>
    <s v="$1.052.963,43 bruto /        $875.067,00 neto"/>
    <s v="122/75"/>
    <s v="No"/>
    <s v="No"/>
    <m/>
  </r>
  <r>
    <s v="00135"/>
    <d v="2026-02-02T00:00:00"/>
    <s v="Cerrada"/>
    <s v="Ema"/>
    <s v="Aprobada"/>
    <m/>
    <m/>
    <m/>
    <m/>
    <x v="3"/>
    <s v="CIRENDSA"/>
    <s v="Hotelería"/>
    <s v="Internación"/>
    <x v="4"/>
    <s v="MUCAMO/A"/>
    <s v="Valeria Dodero"/>
    <m/>
    <x v="0"/>
    <x v="0"/>
    <m/>
    <m/>
    <m/>
    <s v="Reemplazo"/>
    <m/>
    <s v="Lic prolongada Haedo Evelyn"/>
    <m/>
    <s v="Eventual "/>
    <m/>
    <m/>
    <s v="14 A 22 HS. Eventual por licencia prolongada de 157990 HAEDO EVELYN"/>
    <s v="SANATORIO"/>
    <d v="2026-02-19T00:00:00"/>
    <d v="2026-02-23T00:00:00"/>
    <m/>
    <m/>
    <s v="FLORENCIA DOS SANTOS"/>
    <s v="$1.052.963,43 bruto /        $875.067,00 neto"/>
    <s v="122/75"/>
    <s v="No"/>
    <s v="No"/>
    <m/>
  </r>
  <r>
    <s v="00136"/>
    <d v="2026-02-02T00:00:00"/>
    <s v="Cerrada"/>
    <s v="Ema"/>
    <s v="Aprobada"/>
    <m/>
    <m/>
    <m/>
    <m/>
    <x v="3"/>
    <s v="CIRENDSA"/>
    <s v="Hotelería"/>
    <s v="Internación"/>
    <x v="4"/>
    <s v="MUCAMO/A"/>
    <s v="Valeria Dodero"/>
    <m/>
    <x v="0"/>
    <x v="0"/>
    <m/>
    <m/>
    <m/>
    <s v="Reemplazo"/>
    <m/>
    <s v="Lic prolongada Quenta Gabriela"/>
    <m/>
    <s v="Eventual "/>
    <m/>
    <m/>
    <s v="14 A 22 HS. Eventual por licencia prolongada de 166554 QUENTA GABRIELA"/>
    <s v="SANATORIO"/>
    <d v="2026-02-19T00:00:00"/>
    <d v="2026-02-23T00:00:00"/>
    <m/>
    <m/>
    <s v="ELIZABETH VALLEJO"/>
    <s v="$1.052.963,43 bruto /        $875.067,00 neto"/>
    <s v="122/75"/>
    <s v="No"/>
    <s v="No"/>
    <m/>
  </r>
  <r>
    <s v="00137"/>
    <d v="2026-02-02T00:00:00"/>
    <s v="Cerrada"/>
    <s v="Ema"/>
    <s v="Aprobada"/>
    <m/>
    <m/>
    <m/>
    <m/>
    <x v="3"/>
    <s v="CIRENDSA"/>
    <s v="Hotelería"/>
    <s v="Internación"/>
    <x v="4"/>
    <s v="MUCAMO/A"/>
    <s v="Valeria Dodero"/>
    <m/>
    <x v="0"/>
    <x v="0"/>
    <m/>
    <m/>
    <m/>
    <s v="Reemplazo"/>
    <m/>
    <s v="Orellana Leonor"/>
    <m/>
    <s v="Eventual "/>
    <m/>
    <m/>
    <s v="14 A 22 HS"/>
    <s v="SANATORIO"/>
    <d v="2026-02-11T00:00:00"/>
    <d v="2026-02-11T00:00:00"/>
    <m/>
    <m/>
    <s v="ROMINA SARMIENTO"/>
    <s v="$1.052.963,43  bruto /        $875.067,00 neto"/>
    <s v="122/75"/>
    <s v="No"/>
    <s v="No"/>
    <m/>
  </r>
  <r>
    <s v="00138"/>
    <d v="2026-02-02T00:00:00"/>
    <s v="Cerrada"/>
    <s v="Franco"/>
    <s v="Aprobada"/>
    <m/>
    <s v="No"/>
    <s v="Si"/>
    <m/>
    <x v="3"/>
    <s v="CIRENDSA"/>
    <s v="Sistemas"/>
    <s v="Sistemas"/>
    <x v="11"/>
    <s v="Soporte Tecnico"/>
    <s v="Poss"/>
    <m/>
    <x v="0"/>
    <x v="0"/>
    <m/>
    <s v="Media"/>
    <m/>
    <s v="Reemplazo"/>
    <m/>
    <s v="Villegas F"/>
    <m/>
    <s v="Inderminado "/>
    <m/>
    <m/>
    <s v="Lunes a Viernes 8 a 16 hs. Sábado por medio 9 a 13 hs. Feriado rotativo"/>
    <s v="SANATORIO"/>
    <d v="2026-03-12T00:00:00"/>
    <d v="2026-03-23T00:00:00"/>
    <s v="Externa"/>
    <m/>
    <s v="JOSE EZEQUIEL GONZALEZ"/>
    <s v=" $1.593.675,69 bruto /_x0009_ $1.327.814,00 neto"/>
    <s v="122/75"/>
    <s v="No"/>
    <s v="No"/>
    <m/>
  </r>
  <r>
    <s v="00139"/>
    <d v="2026-02-02T00:00:00"/>
    <n v="85"/>
    <s v="Ema"/>
    <s v="Aprobada"/>
    <m/>
    <m/>
    <m/>
    <m/>
    <x v="3"/>
    <s v="CIRENDSA"/>
    <s v="Enfermeria"/>
    <s v="Internación"/>
    <x v="6"/>
    <s v="Enfermero/a de Internación"/>
    <s v="Noelia Alvez"/>
    <m/>
    <x v="3"/>
    <x v="6"/>
    <d v="2026-05-04T00:00:00"/>
    <s v="Baja"/>
    <s v="Baja "/>
    <s v="Reemplazo"/>
    <n v="167700"/>
    <s v="Chavarria Ayelen"/>
    <m/>
    <s v="Inderminado "/>
    <m/>
    <m/>
    <s v="6 a 14 hs"/>
    <s v="SANATORIO"/>
    <d v="2026-04-20T00:00:00"/>
    <d v="2026-05-04T00:00:00"/>
    <m/>
    <m/>
    <s v="Luz Balbidares"/>
    <s v=" $1.303.213,92 bruto /_x0009_ $1.093.671,00 neto"/>
    <s v="122/75"/>
    <m/>
    <m/>
    <s v="CM TM"/>
  </r>
  <r>
    <s v="00140"/>
    <d v="2026-02-02T00:00:00"/>
    <s v="Cerrada"/>
    <s v="Franco"/>
    <s v="Cancelada"/>
    <m/>
    <m/>
    <m/>
    <m/>
    <x v="5"/>
    <m/>
    <s v="Liquidación de Prestaciones"/>
    <s v="Administración y Finanzas"/>
    <x v="3"/>
    <s v="Liquidador/a"/>
    <s v="Valeria Ríos"/>
    <m/>
    <x v="4"/>
    <x v="5"/>
    <m/>
    <m/>
    <m/>
    <s v="Reemplazo"/>
    <m/>
    <s v="Elena Gladys Negri"/>
    <m/>
    <s v="Inderminado "/>
    <m/>
    <m/>
    <m/>
    <m/>
    <m/>
    <m/>
    <m/>
    <m/>
    <m/>
    <m/>
    <m/>
    <m/>
    <m/>
    <m/>
  </r>
  <r>
    <s v="00141"/>
    <d v="2026-02-02T00:00:00"/>
    <s v="Cerrada"/>
    <s v="Franco"/>
    <s v="Cancelada"/>
    <m/>
    <m/>
    <m/>
    <m/>
    <x v="4"/>
    <m/>
    <s v="Recupero SUR"/>
    <s v="Administración y Finanzas"/>
    <x v="3"/>
    <s v="Recupero SUR"/>
    <s v="Valeria Ríos"/>
    <m/>
    <x v="4"/>
    <x v="5"/>
    <m/>
    <m/>
    <m/>
    <s v="Reemplazo"/>
    <m/>
    <s v="Andres Piercamelli"/>
    <m/>
    <s v="Inderminado "/>
    <m/>
    <m/>
    <m/>
    <m/>
    <m/>
    <m/>
    <m/>
    <m/>
    <m/>
    <m/>
    <m/>
    <m/>
    <m/>
    <m/>
  </r>
  <r>
    <s v="00142"/>
    <d v="2026-02-02T00:00:00"/>
    <s v="Cerrada"/>
    <s v="Franco"/>
    <s v="Cancelada"/>
    <m/>
    <m/>
    <m/>
    <m/>
    <x v="4"/>
    <m/>
    <s v="Liquidación de Prestaciones"/>
    <s v="Administración y Finanzas"/>
    <x v="3"/>
    <s v="Liquidador/a"/>
    <s v="Valeria Ríos"/>
    <m/>
    <x v="4"/>
    <x v="5"/>
    <m/>
    <m/>
    <m/>
    <s v="Reemplazo"/>
    <m/>
    <s v="Micaela Fernandez"/>
    <m/>
    <s v="Inderminado "/>
    <m/>
    <m/>
    <m/>
    <m/>
    <m/>
    <m/>
    <m/>
    <m/>
    <m/>
    <m/>
    <m/>
    <m/>
    <m/>
    <m/>
  </r>
  <r>
    <s v="00143"/>
    <d v="2026-02-02T00:00:00"/>
    <s v="Cerrada"/>
    <s v="Franco"/>
    <s v="Cancelada"/>
    <m/>
    <m/>
    <m/>
    <m/>
    <x v="4"/>
    <m/>
    <s v="Liquidación de Prestaciones"/>
    <s v="Administración y Finanzas"/>
    <x v="3"/>
    <s v="Liquidador/a"/>
    <s v="Valeria Ríos"/>
    <m/>
    <x v="4"/>
    <x v="5"/>
    <m/>
    <m/>
    <m/>
    <s v="Reemplazo"/>
    <m/>
    <s v="Camila Orlando/ Arnes Pinto"/>
    <m/>
    <s v="Inderminado "/>
    <m/>
    <m/>
    <m/>
    <m/>
    <m/>
    <m/>
    <m/>
    <m/>
    <m/>
    <m/>
    <m/>
    <m/>
    <m/>
    <m/>
  </r>
  <r>
    <s v="00144"/>
    <d v="2026-02-03T00:00:00"/>
    <s v="Cerrada"/>
    <s v="Franco"/>
    <s v="Aprobada"/>
    <m/>
    <m/>
    <m/>
    <m/>
    <x v="0"/>
    <s v="Bristol Medicine SRL"/>
    <s v="Ventas Retail"/>
    <s v="Comercial"/>
    <x v="0"/>
    <s v="VENDEDOR/A"/>
    <s v="Serafin"/>
    <s v="Vanesa Serafin "/>
    <x v="0"/>
    <x v="0"/>
    <d v="2026-03-19T00:00:00"/>
    <s v="Baja"/>
    <s v="Media"/>
    <s v="Reemplazo"/>
    <m/>
    <s v="GALLO GEREZ, SABRINA NOELIA (1092)"/>
    <m/>
    <s v="Inderminado "/>
    <m/>
    <m/>
    <s v="Lunes a Viernes de 10 a 17hs"/>
    <s v="Bristol - Céspedes"/>
    <d v="2026-03-16T00:00:00"/>
    <d v="2026-03-19T00:00:00"/>
    <s v="Externa"/>
    <s v="Consultora"/>
    <s v=" Alejandro Arroyo "/>
    <s v=" $961.576,34 Bruto"/>
    <s v="108/75"/>
    <s v="No"/>
    <m/>
    <m/>
  </r>
  <r>
    <s v="00145"/>
    <d v="2026-02-04T00:00:00"/>
    <s v="Cerrada"/>
    <s v="Juanpi"/>
    <s v="Aprobada"/>
    <m/>
    <m/>
    <m/>
    <m/>
    <x v="4"/>
    <m/>
    <s v="Medios Digitales"/>
    <s v="Administración y Finanzas"/>
    <x v="11"/>
    <s v="Ing. promt y agentes de IA"/>
    <s v="Christian Cieri"/>
    <m/>
    <x v="4"/>
    <x v="5"/>
    <m/>
    <s v="Alta"/>
    <s v="Baja "/>
    <s v="Apertura de puesto"/>
    <m/>
    <m/>
    <m/>
    <s v="Inderminado "/>
    <m/>
    <m/>
    <m/>
    <m/>
    <m/>
    <m/>
    <m/>
    <m/>
    <m/>
    <m/>
    <m/>
    <m/>
    <m/>
    <m/>
  </r>
  <r>
    <s v="00146"/>
    <d v="2026-02-04T00:00:00"/>
    <s v="Cerrada"/>
    <s v="Juanpi"/>
    <s v="Aprobada"/>
    <m/>
    <m/>
    <m/>
    <m/>
    <x v="4"/>
    <m/>
    <s v="Medios Digitales"/>
    <s v="Administración y Finanzas"/>
    <x v="7"/>
    <s v="Analista de Producto Digital "/>
    <s v="Christian Cieri"/>
    <m/>
    <x v="4"/>
    <x v="5"/>
    <m/>
    <s v="Media"/>
    <s v="Baja "/>
    <s v="Reemplazo"/>
    <m/>
    <s v="Melisa Garcia"/>
    <m/>
    <s v="Inderminado "/>
    <m/>
    <m/>
    <m/>
    <m/>
    <m/>
    <m/>
    <m/>
    <m/>
    <m/>
    <m/>
    <m/>
    <m/>
    <m/>
    <m/>
  </r>
  <r>
    <s v="00147"/>
    <d v="2026-02-05T00:00:00"/>
    <s v="Cerrada"/>
    <s v="Ema"/>
    <s v="Aprobada"/>
    <m/>
    <m/>
    <m/>
    <m/>
    <x v="3"/>
    <s v="CIRENDSA"/>
    <s v="Hotelería"/>
    <s v="Internación"/>
    <x v="4"/>
    <s v="MUCAMO/A"/>
    <s v="Valeria Dodero"/>
    <m/>
    <x v="0"/>
    <x v="0"/>
    <m/>
    <m/>
    <m/>
    <s v="Reemplazo"/>
    <m/>
    <s v="Lic prolongada Araujo Fiorella"/>
    <m/>
    <s v="Eventual "/>
    <m/>
    <m/>
    <s v="14 A 22 HS Eventual por licencia prolongada de 163142 ARAUJO FIORELLA"/>
    <s v="SANATORIO"/>
    <d v="2026-02-19T00:00:00"/>
    <d v="2026-02-23T00:00:00"/>
    <m/>
    <m/>
    <s v="ANABELLA SEGOVIA"/>
    <s v="$1.052.963,43 bruto /        $875.067,00 neto"/>
    <s v="122/75"/>
    <s v="No"/>
    <m/>
    <m/>
  </r>
  <r>
    <s v="00148"/>
    <d v="2026-02-05T00:00:00"/>
    <s v="Cerrada"/>
    <s v="Ema"/>
    <s v="Aprobada"/>
    <m/>
    <m/>
    <m/>
    <m/>
    <x v="3"/>
    <s v="CIRENDSA"/>
    <s v="Enfermeria"/>
    <s v="Terapia Intensiva"/>
    <x v="6"/>
    <s v="Enfermero/a de Terapia Intensiva"/>
    <s v="Alvez"/>
    <m/>
    <x v="0"/>
    <x v="0"/>
    <m/>
    <m/>
    <m/>
    <s v="Reemplazo"/>
    <m/>
    <s v="Lorena Quisbert Urias"/>
    <m/>
    <s v="Plazo Fijo"/>
    <m/>
    <m/>
    <s v="14 A 22 HS"/>
    <s v="SANATORIO"/>
    <d v="2026-02-19T00:00:00"/>
    <d v="2026-02-23T00:00:00"/>
    <m/>
    <m/>
    <s v="SERGIO MEDRANO"/>
    <s v="$1.444.204,15 bruto /        $1.205.247,26 neto"/>
    <s v="122/75"/>
    <s v="No"/>
    <m/>
    <m/>
  </r>
  <r>
    <s v="00149"/>
    <d v="2026-02-06T00:00:00"/>
    <s v="Cerrada"/>
    <s v="Ema"/>
    <s v="Aprobada"/>
    <m/>
    <m/>
    <m/>
    <m/>
    <x v="3"/>
    <m/>
    <s v="Hotelería"/>
    <s v="Internación"/>
    <x v="4"/>
    <s v="MUCAMO/A"/>
    <s v="Valeria Dodero"/>
    <m/>
    <x v="0"/>
    <x v="0"/>
    <m/>
    <s v="Baja"/>
    <s v="Media"/>
    <s v="Reemplazo"/>
    <m/>
    <s v="Malaga Yanina"/>
    <m/>
    <s v="Inderminado "/>
    <m/>
    <m/>
    <s v="14 A 22 HS"/>
    <s v="SANATORIO"/>
    <d v="2026-03-23T00:00:00"/>
    <d v="2026-04-08T00:00:00"/>
    <m/>
    <m/>
    <s v="Gina Yngargiola"/>
    <s v="$1.052.963,43 bruto /        $875.067,00 neto"/>
    <s v="122/75"/>
    <s v="No"/>
    <m/>
    <m/>
  </r>
  <r>
    <s v="00150"/>
    <d v="2026-02-06T00:00:00"/>
    <s v="Cerrada"/>
    <s v="Ema"/>
    <s v="Aprobada"/>
    <m/>
    <m/>
    <m/>
    <m/>
    <x v="3"/>
    <m/>
    <s v="Enfermeria"/>
    <s v="Internación"/>
    <x v="6"/>
    <s v="Enfermero/a de Internación"/>
    <s v="Noelia Alvez"/>
    <m/>
    <x v="0"/>
    <x v="0"/>
    <m/>
    <s v="Baja"/>
    <m/>
    <s v="Reemplazo"/>
    <m/>
    <s v="Carbajal Gabriela"/>
    <m/>
    <s v="Inderminado "/>
    <m/>
    <m/>
    <s v="14 A 22 HS"/>
    <s v="SANATORIO"/>
    <d v="2026-03-11T00:00:00"/>
    <d v="2026-03-20T00:00:00"/>
    <m/>
    <m/>
    <s v="KEVIN CUIZA"/>
    <s v=" $1.223.571,44 bruto /_x0009_ $1.024.328,50 neto"/>
    <s v="122/75"/>
    <s v="No"/>
    <s v="No"/>
    <s v="CM TT"/>
  </r>
  <r>
    <s v="00151"/>
    <d v="2026-02-09T00:00:00"/>
    <s v="Cerrada"/>
    <s v="Ema"/>
    <s v="Aprobada"/>
    <m/>
    <m/>
    <m/>
    <m/>
    <x v="4"/>
    <s v="Healthnes"/>
    <s v="Contact Center"/>
    <s v="Operaciones"/>
    <x v="3"/>
    <s v="Operador call center"/>
    <s v="Agostina Zukowski"/>
    <m/>
    <x v="0"/>
    <x v="0"/>
    <m/>
    <m/>
    <m/>
    <s v="Reemplazo"/>
    <m/>
    <s v="Marquez M"/>
    <m/>
    <s v="Plazo Fijo"/>
    <m/>
    <m/>
    <s v="Lunes a Viernes 13 a 18 hs. Sábados 9 a 14 hs (25 hs)"/>
    <s v="CONTACT CENTER"/>
    <d v="2026-02-19T00:00:00"/>
    <d v="2026-02-23T00:00:00"/>
    <m/>
    <m/>
    <s v="JUANA D'ANDREA"/>
    <s v="$710.649,96 bruto / $567.231,00 neto"/>
    <s v="130/75"/>
    <s v="No"/>
    <s v="No"/>
    <m/>
  </r>
  <r>
    <s v="00152"/>
    <d v="2026-02-09T00:00:00"/>
    <s v="Cerrada"/>
    <s v="Ema"/>
    <s v="Aprobada"/>
    <m/>
    <m/>
    <m/>
    <m/>
    <x v="3"/>
    <m/>
    <s v="Enfermeria"/>
    <s v="Internación"/>
    <x v="1"/>
    <s v="Supervisor/a de Internación"/>
    <s v="Alvez"/>
    <m/>
    <x v="0"/>
    <x v="0"/>
    <m/>
    <s v="Media"/>
    <m/>
    <s v="Reemplazo"/>
    <m/>
    <s v="Frias Lorena"/>
    <m/>
    <s v="Inderminado "/>
    <m/>
    <m/>
    <m/>
    <s v="SANATORIO"/>
    <m/>
    <d v="2026-04-01T00:00:00"/>
    <s v="Interna"/>
    <s v="Promoción"/>
    <s v="Jully Aranibar"/>
    <m/>
    <m/>
    <m/>
    <m/>
    <s v="2 perfiles internos identificados "/>
  </r>
  <r>
    <s v="00153"/>
    <d v="2026-02-09T00:00:00"/>
    <s v="Cerrada"/>
    <s v="Franco"/>
    <s v="Aprobada"/>
    <m/>
    <m/>
    <m/>
    <m/>
    <x v="0"/>
    <s v="Bristol Medicine SRL"/>
    <s v="Ventas Retail"/>
    <s v="Comercial"/>
    <x v="0"/>
    <s v="VENDEDOR/A"/>
    <s v="Serafin"/>
    <s v="Vanesa Serafin "/>
    <x v="0"/>
    <x v="0"/>
    <d v="2026-03-19T00:00:00"/>
    <s v="Baja"/>
    <s v="Media"/>
    <s v="Reemplazo"/>
    <m/>
    <s v="ROMERO, VIRGINIA IVON (169843)"/>
    <m/>
    <s v="Inderminado "/>
    <m/>
    <m/>
    <s v="Lunes a Viernes de 10 a 17hs"/>
    <s v="Bristol - Céspedes"/>
    <d v="2026-03-16T00:00:00"/>
    <d v="2026-03-19T00:00:00"/>
    <s v="Externa"/>
    <s v="Consultora"/>
    <s v=" Rodrigo González "/>
    <s v=" $961.576,34 Bruto"/>
    <s v="108/75"/>
    <s v="No"/>
    <m/>
    <m/>
  </r>
  <r>
    <s v="00154"/>
    <d v="2026-02-09T00:00:00"/>
    <s v="Cerrada"/>
    <s v="Juanpi"/>
    <s v="Aprobada"/>
    <m/>
    <s v="Si"/>
    <s v="Si"/>
    <m/>
    <x v="4"/>
    <m/>
    <s v="MARKETING"/>
    <s v="Servicios de Apoyo"/>
    <x v="7"/>
    <s v="BRAND MANAGER"/>
    <s v="Pachelo "/>
    <m/>
    <x v="4"/>
    <x v="5"/>
    <m/>
    <m/>
    <m/>
    <s v="Apertura de puesto"/>
    <m/>
    <m/>
    <m/>
    <s v="Inderminado "/>
    <m/>
    <m/>
    <m/>
    <m/>
    <m/>
    <m/>
    <m/>
    <m/>
    <m/>
    <m/>
    <m/>
    <m/>
    <m/>
    <m/>
  </r>
  <r>
    <s v="00155"/>
    <d v="2026-02-11T00:00:00"/>
    <s v="Cerrada"/>
    <s v="Franco"/>
    <s v="Aprobada"/>
    <m/>
    <s v="No"/>
    <m/>
    <m/>
    <x v="7"/>
    <m/>
    <s v="Atención al Público"/>
    <s v="Farmacia Lamaité"/>
    <x v="3"/>
    <s v="CAJERO/A"/>
    <s v="Sergio Bernigaud"/>
    <m/>
    <x v="0"/>
    <x v="0"/>
    <d v="2026-04-06T00:00:00"/>
    <s v="Baja"/>
    <s v="Media"/>
    <s v="Reemplazo"/>
    <m/>
    <s v="Lucia Toschi "/>
    <m/>
    <s v="Inderminado "/>
    <m/>
    <m/>
    <s v="Lunes a Viernes 16 a 20hs / Domingos 9 a 21hs"/>
    <s v="Farmacia"/>
    <d v="2026-03-16T00:00:00"/>
    <d v="2026-04-06T00:00:00"/>
    <s v="Externa"/>
    <m/>
    <s v="Rossana Contreras"/>
    <s v="$1.373.058,07 bruto / $1.118.880,00 neto"/>
    <s v="Adef - 414/05"/>
    <s v="No"/>
    <s v="No"/>
    <s v="Empleado de mostrador. 2 candidatos en preoc"/>
  </r>
  <r>
    <s v="00156"/>
    <d v="2026-02-11T00:00:00"/>
    <s v="Cerrada"/>
    <s v="Ema"/>
    <s v="Aprobada"/>
    <m/>
    <m/>
    <m/>
    <m/>
    <x v="3"/>
    <s v="CIRENDSA"/>
    <s v="Hotelería"/>
    <s v="Internación"/>
    <x v="4"/>
    <s v="MUCAMO/A"/>
    <s v="Valeria Dodero"/>
    <m/>
    <x v="0"/>
    <x v="0"/>
    <m/>
    <s v="Baja"/>
    <m/>
    <s v="Reemplazo"/>
    <m/>
    <s v="Kloz Carmen"/>
    <m/>
    <s v="Inderminado "/>
    <m/>
    <m/>
    <s v="14 A 22 HS "/>
    <s v="SANATORIO"/>
    <d v="2026-03-23T00:00:00"/>
    <d v="2026-04-08T00:00:00"/>
    <m/>
    <m/>
    <s v="SOLEDAD CUEVAS"/>
    <s v=" $1.052.963,43 bruto /_x0009_ $875.067,00 neto"/>
    <s v="122/75"/>
    <s v="No"/>
    <s v="No"/>
    <m/>
  </r>
  <r>
    <s v="00157"/>
    <d v="2026-02-11T00:00:00"/>
    <s v="Cerrada"/>
    <s v="Ema"/>
    <s v="Aprobada"/>
    <m/>
    <m/>
    <m/>
    <m/>
    <x v="3"/>
    <s v="CIRENDSA"/>
    <s v="Admisión"/>
    <s v="Consultorios Externos"/>
    <x v="3"/>
    <s v="Administrativo/a de Consultoríos Externos"/>
    <s v="Gomez"/>
    <m/>
    <x v="0"/>
    <x v="0"/>
    <m/>
    <s v="Baja"/>
    <s v="Media"/>
    <s v="Reemplazo"/>
    <m/>
    <s v="Romina Barrera"/>
    <m/>
    <s v="Inderminado "/>
    <m/>
    <m/>
    <s v=" Lu a Vie 14 a 20 hs - Sabado x medio 07 a 13 hs "/>
    <s v="SANATORIO"/>
    <m/>
    <d v="2026-03-23T00:00:00"/>
    <m/>
    <m/>
    <s v="ALDANA MARECO"/>
    <s v=" $842.805,08 bruto /_x0009_ $697.077,50 neto"/>
    <s v="122/75"/>
    <s v="No"/>
    <s v="No"/>
    <m/>
  </r>
  <r>
    <s v="00158"/>
    <d v="2026-02-12T00:00:00"/>
    <s v="Cerrada"/>
    <s v="Ema"/>
    <s v="Aprobada"/>
    <m/>
    <m/>
    <m/>
    <m/>
    <x v="3"/>
    <s v="CIRENDSA"/>
    <s v="Cirugía"/>
    <s v="Quirófano"/>
    <x v="5"/>
    <s v="INSTRUMENTADOR/A"/>
    <s v="Di Franco"/>
    <m/>
    <x v="0"/>
    <x v="0"/>
    <m/>
    <s v="Baja"/>
    <s v="Media"/>
    <s v="Reemplazo"/>
    <m/>
    <s v="Stella Maris Carabajal"/>
    <m/>
    <s v="Inderminado "/>
    <m/>
    <m/>
    <s v="L A S 15 A 23 HS. FERIADO ROTATIVO"/>
    <s v="SANATORIO"/>
    <d v="2026-03-23T00:00:00"/>
    <d v="2026-04-08T00:00:00"/>
    <m/>
    <m/>
    <s v="MEGAN BURTON"/>
    <s v="$1.478.071,38  bruto /       $1.230.851,50 neto"/>
    <s v="122/75"/>
    <s v="No"/>
    <m/>
    <s v="Se baja el candidato antes de la firma"/>
  </r>
  <r>
    <s v="00159"/>
    <d v="2026-02-13T00:00:00"/>
    <s v="Cerrada"/>
    <s v="Franco"/>
    <s v="Aprobada"/>
    <m/>
    <m/>
    <m/>
    <m/>
    <x v="7"/>
    <s v="Farmacia Nobel"/>
    <s v="Atención al Público"/>
    <s v="Farmacia Lamaité"/>
    <x v="3"/>
    <s v="CAJERO/A"/>
    <s v="Sergio Bernigaud"/>
    <m/>
    <x v="0"/>
    <x v="0"/>
    <m/>
    <m/>
    <m/>
    <s v="Reemplazo"/>
    <m/>
    <s v="Roxana Sequeira"/>
    <m/>
    <s v="Inderminado "/>
    <m/>
    <m/>
    <s v="Lunes a Viernes 16 a 22hs y Sabados de 13 a 21hs"/>
    <s v="Farmacia"/>
    <d v="2026-03-03T00:00:00"/>
    <d v="2026-03-09T00:00:00"/>
    <m/>
    <m/>
    <s v="Victoria Rocio Fagundez"/>
    <s v="$1.634.593,04 bruto / $1.363.852,00 neto"/>
    <m/>
    <s v="No"/>
    <s v="No"/>
    <m/>
  </r>
  <r>
    <s v="00160"/>
    <d v="2026-02-13T00:00:00"/>
    <s v="Cerrada"/>
    <s v="Ema"/>
    <s v="Aprobada"/>
    <m/>
    <m/>
    <m/>
    <m/>
    <x v="3"/>
    <s v="CIRENDSA"/>
    <s v="Enfermeria"/>
    <s v="INTERNACION"/>
    <x v="6"/>
    <s v="Enfermero/a de Internación"/>
    <s v="Noelia Alvez"/>
    <m/>
    <x v="0"/>
    <x v="0"/>
    <m/>
    <s v="Baja"/>
    <s v="Alta "/>
    <s v="Reemplazo"/>
    <m/>
    <s v="Blanco Beatriz"/>
    <s v="Renuncia "/>
    <s v="Inderminado "/>
    <m/>
    <m/>
    <s v="TT - 14 a 22 HS"/>
    <s v="SANATORIO"/>
    <d v="2026-04-27T00:00:00"/>
    <d v="2026-04-27T00:00:00"/>
    <m/>
    <m/>
    <s v="NILDA IBARROLA"/>
    <s v="Eventual por licencia. Se efectiviza"/>
    <s v="122/75"/>
    <s v="No"/>
    <s v="No"/>
    <s v=" 7/4 Se baja del proceso previo a la firma"/>
  </r>
  <r>
    <s v="00161"/>
    <d v="2026-02-14T00:00:00"/>
    <s v="Cerrada"/>
    <s v="Ema"/>
    <s v="Aprobada"/>
    <m/>
    <m/>
    <m/>
    <m/>
    <x v="4"/>
    <s v="Healthnes"/>
    <s v="Contact Center"/>
    <s v="Operaciones"/>
    <x v="3"/>
    <s v="Operador call center"/>
    <s v="Zukoski"/>
    <m/>
    <x v="0"/>
    <x v="0"/>
    <m/>
    <s v="Baja"/>
    <s v="Media"/>
    <s v="Reemplazo"/>
    <m/>
    <s v="Dana Collado "/>
    <m/>
    <s v="Plazo Fijo"/>
    <m/>
    <m/>
    <s v="Lunes a Viernes 14 a 19 hs. Sábado 9 a 14 hs (25 hs)"/>
    <s v="CONTACT CENTER"/>
    <d v="2026-03-03T00:00:00"/>
    <d v="2026-03-09T00:00:00"/>
    <m/>
    <m/>
    <s v="MARIA DEL PILAR HEREDIA"/>
    <s v="$710.649,96 bruto / $567.231,00 neto"/>
    <s v="130/75"/>
    <s v="No"/>
    <m/>
    <m/>
  </r>
  <r>
    <s v="00162"/>
    <d v="2026-02-15T00:00:00"/>
    <s v="Cerrada"/>
    <s v="Ema"/>
    <s v="Aprobada"/>
    <m/>
    <m/>
    <m/>
    <m/>
    <x v="3"/>
    <s v="CIRENDSA"/>
    <s v="Enfermeria"/>
    <s v="Terapia Intensiva"/>
    <x v="6"/>
    <s v="Enfermero/a de Terapia Intensiva"/>
    <s v="Noelia Alvez"/>
    <m/>
    <x v="1"/>
    <x v="1"/>
    <m/>
    <s v="Media"/>
    <m/>
    <s v="Reemplazo"/>
    <m/>
    <s v="Vacante TM"/>
    <m/>
    <s v="Inderminado "/>
    <m/>
    <m/>
    <m/>
    <s v="SANATORIO"/>
    <m/>
    <m/>
    <m/>
    <m/>
    <m/>
    <m/>
    <m/>
    <m/>
    <m/>
    <m/>
  </r>
  <r>
    <s v="00163"/>
    <d v="2026-02-15T00:00:00"/>
    <s v="Cerrada"/>
    <s v="Ema"/>
    <s v="Aprobada"/>
    <m/>
    <m/>
    <m/>
    <m/>
    <x v="3"/>
    <s v="CIRENDSA"/>
    <s v="Enfermeria"/>
    <s v="Terapia Intensiva"/>
    <x v="6"/>
    <s v="Enfermero/a de Terapia Intensiva"/>
    <s v="Alvez"/>
    <m/>
    <x v="0"/>
    <x v="0"/>
    <m/>
    <s v="Media"/>
    <m/>
    <s v="Reemplazo"/>
    <m/>
    <s v="Vacante TT"/>
    <m/>
    <s v="Inderminado "/>
    <m/>
    <m/>
    <s v="14 A 22 HS"/>
    <s v="SANATORIO"/>
    <d v="2026-03-11T00:00:00"/>
    <d v="2026-03-20T00:00:00"/>
    <m/>
    <m/>
    <s v="MARIA JOSE CASTILLO"/>
    <s v=" $1.444.204,15 bruto /_x0009_ $1.205.247,26 neto"/>
    <s v="122/75"/>
    <s v="No"/>
    <s v="No"/>
    <m/>
  </r>
  <r>
    <s v="00164"/>
    <d v="2026-02-15T00:00:00"/>
    <s v="Cerrada"/>
    <s v="Ema"/>
    <s v="Aprobada"/>
    <m/>
    <m/>
    <m/>
    <m/>
    <x v="3"/>
    <s v="CIRENDSA"/>
    <s v="Enfermeria"/>
    <s v="Terapia Intensiva"/>
    <x v="6"/>
    <s v="Enfermero/a de Terapia Intensiva"/>
    <s v="Alvez"/>
    <m/>
    <x v="0"/>
    <x v="0"/>
    <m/>
    <s v="Media"/>
    <m/>
    <s v="Reemplazo"/>
    <m/>
    <s v="Vacante TT"/>
    <m/>
    <s v="Inderminado "/>
    <m/>
    <m/>
    <s v="14 A 22 HS"/>
    <s v="SANATORIO"/>
    <d v="2026-03-11T00:00:00"/>
    <d v="2026-03-20T00:00:00"/>
    <m/>
    <m/>
    <s v="MARIANA CONTE"/>
    <s v=" $1.444.204,15 bruto /_x0009_ $1.205.247,26 neto"/>
    <s v="122/75"/>
    <s v="No"/>
    <s v="No"/>
    <m/>
  </r>
  <r>
    <s v="00165"/>
    <d v="2026-02-15T00:00:00"/>
    <n v="72"/>
    <s v="Ema"/>
    <s v="Aprobada"/>
    <m/>
    <m/>
    <m/>
    <m/>
    <x v="3"/>
    <s v="CIRENDSA"/>
    <s v="Enfermeria"/>
    <s v="Terapia Intensiva"/>
    <x v="6"/>
    <s v="Enfermero/a de Terapia Intensiva"/>
    <s v="Noelia Alvez"/>
    <m/>
    <x v="2"/>
    <x v="7"/>
    <d v="2026-05-18T00:00:00"/>
    <s v="Media"/>
    <s v="Alta "/>
    <s v="Reemplazo"/>
    <m/>
    <s v="EDITH LLANES"/>
    <s v="Renuncia "/>
    <s v="Inderminado "/>
    <m/>
    <m/>
    <s v="TN - 22 a 6 HS"/>
    <s v="SANATORIO"/>
    <m/>
    <m/>
    <m/>
    <m/>
    <m/>
    <m/>
    <s v="122/75"/>
    <s v="No"/>
    <s v="No"/>
    <m/>
  </r>
  <r>
    <s v="00166"/>
    <d v="2026-02-16T00:00:00"/>
    <s v="Cerrada"/>
    <s v="Ema"/>
    <s v="Aprobada"/>
    <m/>
    <m/>
    <m/>
    <m/>
    <x v="3"/>
    <s v="CIRENDSA"/>
    <s v="Enfermeria"/>
    <s v="Internación"/>
    <x v="6"/>
    <s v="Enfermero/a de Internación"/>
    <s v="Alvez"/>
    <m/>
    <x v="0"/>
    <x v="0"/>
    <m/>
    <s v="Baja"/>
    <s v="Media"/>
    <s v="Reemplazo"/>
    <m/>
    <s v="Gutierrez Ariel"/>
    <m/>
    <s v="Inderminado "/>
    <m/>
    <m/>
    <s v="14 A 22 HS"/>
    <s v="SANATORIO"/>
    <d v="2026-03-03T00:00:00"/>
    <d v="2026-03-09T00:00:00"/>
    <m/>
    <m/>
    <s v="FLORENCIA MOGRO"/>
    <s v="$1.223.571,44  bruto /       $1.024.328,50 neto"/>
    <s v="122/75"/>
    <s v="No"/>
    <m/>
    <s v="CM TT"/>
  </r>
  <r>
    <s v="00167"/>
    <d v="2026-02-16T00:00:00"/>
    <s v="Cerrada"/>
    <s v="Franco"/>
    <s v="Aprobada"/>
    <m/>
    <m/>
    <m/>
    <m/>
    <x v="4"/>
    <s v="Healthnes"/>
    <s v="Contact Center"/>
    <s v="Operaciones"/>
    <x v="3"/>
    <s v="Operador call center"/>
    <s v="Agostina Zukowski"/>
    <m/>
    <x v="0"/>
    <x v="0"/>
    <m/>
    <s v="Baja"/>
    <s v="Alta "/>
    <s v="Reemplazo"/>
    <m/>
    <s v="Lic prolongada Sanchez Daiana"/>
    <s v="Licencia "/>
    <s v="Eventual "/>
    <m/>
    <m/>
    <s v="Lunes a Miércoles 10-19 h. Jueves y Viernes 11-19 hs y Sábados 9-14 hs por Lic prolongada 164206 DANIELA SANCHEZ_x0009_"/>
    <s v="CONTACT CENTER"/>
    <d v="2026-03-11T00:00:00"/>
    <d v="2026-04-08T00:00:00"/>
    <s v="Externa"/>
    <m/>
    <s v="ALEJANDRO RIVAROLA"/>
    <s v=" $1.264.501,58 bruto /_x0009_ $1.032.990,00 neto"/>
    <s v="130/75"/>
    <s v="No"/>
    <m/>
    <m/>
  </r>
  <r>
    <s v="00168"/>
    <d v="2026-02-18T00:00:00"/>
    <s v="Cerrada"/>
    <s v="Franco"/>
    <s v="Aprobada"/>
    <m/>
    <m/>
    <m/>
    <m/>
    <x v="0"/>
    <s v="Cobensil"/>
    <s v="Cobranzas"/>
    <s v="Administración y Finanzas"/>
    <x v="0"/>
    <s v="Cobrador/a"/>
    <s v="Florencia Rodriguez"/>
    <m/>
    <x v="0"/>
    <x v="0"/>
    <m/>
    <m/>
    <m/>
    <s v="Reemplazo"/>
    <m/>
    <s v="Cinthya Uncal"/>
    <m/>
    <s v="Plazo Fijo"/>
    <m/>
    <m/>
    <s v="Lunes a Viernes de 14h a 20hs, Sabado x medio de 9 a 13hs (Part time)"/>
    <s v="Ravignani"/>
    <d v="2026-02-19T00:00:00"/>
    <d v="2026-03-02T00:00:00"/>
    <m/>
    <m/>
    <s v="Natacha Burgardt"/>
    <s v="$711.303,94 bruto / $564.434,00 neto"/>
    <s v="130/75"/>
    <s v="No"/>
    <s v="No"/>
    <s v="Actualmente hay una candidata para ingresar"/>
  </r>
  <r>
    <s v="00169"/>
    <d v="2026-02-18T00:00:00"/>
    <s v="Cerrada"/>
    <s v="Jose"/>
    <s v="Aprobada"/>
    <m/>
    <m/>
    <m/>
    <m/>
    <x v="3"/>
    <m/>
    <s v="Comercial"/>
    <s v="Administración y Finanzas"/>
    <x v="7"/>
    <s v="Analista de convenios"/>
    <s v="Alejandro Poeta"/>
    <m/>
    <x v="0"/>
    <x v="0"/>
    <m/>
    <s v="Media"/>
    <s v="Alta "/>
    <s v="Apertura de puesto"/>
    <m/>
    <m/>
    <m/>
    <s v="Inderminado "/>
    <m/>
    <m/>
    <s v="Lunes a viernes de 9 a 18hs"/>
    <s v="La Musa"/>
    <d v="2026-03-30T00:00:00"/>
    <d v="2026-04-06T00:00:00"/>
    <s v="Externa"/>
    <s v="Linkedln "/>
    <s v="Pedro Goicochea "/>
    <s v="$1.700.000 netos"/>
    <s v="FUCO"/>
    <s v="Si"/>
    <s v="No"/>
    <s v="12-12 analizando cv´s, 4 cnadidatos con diferencias salariales, paso a poetea 2 perfiles Delfina Musso y Valeria Santa Cruz , pasa a preo Delfina Musso el 26-12, el 23/01 indico Delfina Musso que no iba a ingresar de su trabajo le pidieron que se quedara. Se retoma el filtrado de CV´s 26-01."/>
  </r>
  <r>
    <s v="00170"/>
    <d v="2026-02-18T00:00:00"/>
    <s v="Cerrada"/>
    <s v="Ema"/>
    <s v="Aprobada"/>
    <m/>
    <m/>
    <m/>
    <m/>
    <x v="3"/>
    <m/>
    <s v="Admisión"/>
    <s v="Imágenes"/>
    <x v="3"/>
    <s v="Asesor al Paciente"/>
    <s v="Gomez"/>
    <m/>
    <x v="0"/>
    <x v="0"/>
    <m/>
    <s v="Baja"/>
    <m/>
    <s v="Reemplazo"/>
    <m/>
    <s v="Nicolas Morrone"/>
    <m/>
    <s v="Inderminado "/>
    <m/>
    <m/>
    <s v="Lunes a Viernes 12.30 a 20.30 hs. Sábados 7 a 13 hs"/>
    <s v="SANATORIO"/>
    <m/>
    <d v="2026-03-23T00:00:00"/>
    <m/>
    <m/>
    <s v="YAMILA PACHECO"/>
    <s v=" $842.805,08 bruto /_x0009_ $697.077,50 neto"/>
    <s v="122/75"/>
    <s v="No"/>
    <m/>
    <m/>
  </r>
  <r>
    <s v="00171"/>
    <d v="2026-02-18T00:00:00"/>
    <s v="Cerrada"/>
    <s v="Ema"/>
    <s v="Aprobada"/>
    <m/>
    <m/>
    <m/>
    <m/>
    <x v="3"/>
    <m/>
    <s v="Laboratorio"/>
    <s v="Laboratorio"/>
    <x v="5"/>
    <s v="Tecnico/a de Laboratorio"/>
    <s v="Scarcelli"/>
    <m/>
    <x v="4"/>
    <x v="8"/>
    <m/>
    <s v="Baja"/>
    <m/>
    <s v="Reemplazo"/>
    <m/>
    <s v="Rodriguez Julieta"/>
    <m/>
    <s v="Inderminado "/>
    <m/>
    <m/>
    <m/>
    <m/>
    <m/>
    <m/>
    <m/>
    <m/>
    <m/>
    <m/>
    <m/>
    <m/>
    <m/>
    <m/>
  </r>
  <r>
    <s v="00172"/>
    <d v="2026-02-18T00:00:00"/>
    <s v="Cerrada"/>
    <s v="Franco"/>
    <s v="Aprobada"/>
    <m/>
    <m/>
    <m/>
    <m/>
    <x v="0"/>
    <s v="Bristol Medicine SRL"/>
    <s v="Ventas Retail"/>
    <s v="Comercial"/>
    <x v="0"/>
    <s v="VENDEDOR/A"/>
    <s v="Serafin"/>
    <m/>
    <x v="0"/>
    <x v="0"/>
    <m/>
    <s v="Baja"/>
    <s v="Media"/>
    <s v="Reemplazo"/>
    <n v="169836"/>
    <s v="Adrian Torosantucci"/>
    <s v="Renuncia "/>
    <s v="Inderminado "/>
    <m/>
    <m/>
    <s v="Lunes a Viernes de 10 a 17hs"/>
    <s v="Céspedes 3249"/>
    <d v="2026-04-10T00:00:00"/>
    <d v="2026-04-16T00:00:00"/>
    <m/>
    <s v="Consultora"/>
    <s v="Italo Rivera"/>
    <s v="$1.014.583,64 bruto / $850.802,00 neto"/>
    <s v="108/75"/>
    <s v="No"/>
    <m/>
    <m/>
  </r>
  <r>
    <s v="00173"/>
    <d v="2026-02-18T00:00:00"/>
    <s v="Cerrada"/>
    <s v="Franco"/>
    <s v="Aprobada"/>
    <m/>
    <m/>
    <m/>
    <m/>
    <x v="0"/>
    <s v="Cobensil SA"/>
    <s v="Ventas Retail"/>
    <s v="Comercial"/>
    <x v="0"/>
    <s v="VENDEDOR/A"/>
    <s v="Serafin"/>
    <m/>
    <x v="0"/>
    <x v="0"/>
    <m/>
    <s v="Baja"/>
    <s v="Media"/>
    <s v="Reemplazo"/>
    <n v="1088"/>
    <s v="SANCHEZ OLIVERA, ROMINA"/>
    <s v="Desvinculación empresa"/>
    <s v="Inderminado "/>
    <m/>
    <m/>
    <s v="Lunes a Viernes de 10 a 18hs"/>
    <s v="Lacroze 3257"/>
    <d v="2026-04-10T00:00:00"/>
    <d v="2026-04-16T00:00:00"/>
    <m/>
    <s v="Consultora"/>
    <s v="Lautaro Alan Bazan"/>
    <s v="$1.315.682,00 bruto /  $1.077.223,50 neto"/>
    <s v="130/75"/>
    <s v="No"/>
    <m/>
    <m/>
  </r>
  <r>
    <s v="00174"/>
    <d v="2026-02-18T00:00:00"/>
    <n v="69"/>
    <s v="Franco"/>
    <s v="Aprobada"/>
    <m/>
    <m/>
    <m/>
    <m/>
    <x v="0"/>
    <s v="Cobensil SA"/>
    <s v="Ventas Retail"/>
    <s v="Comercial"/>
    <x v="0"/>
    <s v="VENDEDOR/A"/>
    <s v="Serafin"/>
    <m/>
    <x v="3"/>
    <x v="4"/>
    <d v="2026-05-11T00:00:00"/>
    <s v="Baja"/>
    <s v="Media"/>
    <s v="Apertura de puesto"/>
    <m/>
    <m/>
    <m/>
    <s v="Inderminado "/>
    <m/>
    <m/>
    <m/>
    <m/>
    <m/>
    <m/>
    <m/>
    <s v="Consultora"/>
    <m/>
    <m/>
    <m/>
    <s v="No"/>
    <m/>
    <m/>
  </r>
  <r>
    <s v="00175"/>
    <d v="2026-02-18T00:00:00"/>
    <s v="Cerrada"/>
    <s v="Franco"/>
    <s v="Aprobada"/>
    <m/>
    <m/>
    <m/>
    <m/>
    <x v="0"/>
    <s v="Cobensil SA"/>
    <s v="Ventas Retail"/>
    <s v="Comercial"/>
    <x v="0"/>
    <s v="VENDEDOR/A"/>
    <s v="Serafin"/>
    <m/>
    <x v="0"/>
    <x v="0"/>
    <m/>
    <s v="Baja"/>
    <s v="Media"/>
    <s v="Apertura de puesto"/>
    <m/>
    <m/>
    <m/>
    <s v="Inderminado "/>
    <m/>
    <m/>
    <s v="Lunes a Viernes de 10 a 18hs"/>
    <s v="Av Maipu 1680"/>
    <d v="2026-04-10T00:00:00"/>
    <d v="2026-04-16T00:00:00"/>
    <m/>
    <s v="Consultora"/>
    <s v="Gustavo Enrique Perez Cañizalez"/>
    <s v="$1.315.682,00 bruto /  $1.077.223,50 neto"/>
    <s v="130/75"/>
    <s v="No"/>
    <m/>
    <m/>
  </r>
  <r>
    <s v="00176"/>
    <d v="2026-02-18T00:00:00"/>
    <s v="Cerrada"/>
    <s v="Franco"/>
    <s v="Aprobada"/>
    <m/>
    <m/>
    <m/>
    <m/>
    <x v="0"/>
    <s v="Cobensil SA"/>
    <s v="Ventas Retail"/>
    <s v="Comercial"/>
    <x v="0"/>
    <s v="VENDEDOR/A"/>
    <s v="Serafin"/>
    <m/>
    <x v="0"/>
    <x v="0"/>
    <m/>
    <s v="Baja"/>
    <s v="Media"/>
    <s v="Apertura de puesto"/>
    <m/>
    <m/>
    <m/>
    <s v="Inderminado "/>
    <m/>
    <m/>
    <s v="Lunes a Viernes de 10 a 18hs"/>
    <s v="Av Maipu 1680"/>
    <d v="2026-04-14T00:00:00"/>
    <d v="2026-04-16T00:00:00"/>
    <m/>
    <s v="Consultora"/>
    <s v="Sabrina Gonzalez"/>
    <s v="$1.315.682,00 bruto /  $1.077.223,50 neto"/>
    <s v="130/75"/>
    <s v="No"/>
    <m/>
    <m/>
  </r>
  <r>
    <s v="00177"/>
    <d v="2026-02-20T00:00:00"/>
    <n v="67"/>
    <s v="Franco"/>
    <s v="Aprobada"/>
    <m/>
    <m/>
    <m/>
    <m/>
    <x v="0"/>
    <m/>
    <s v="Ventas Retail"/>
    <s v="Comercial"/>
    <x v="0"/>
    <s v="VENDEDOR/A"/>
    <s v="Serafin"/>
    <m/>
    <x v="3"/>
    <x v="4"/>
    <d v="2026-05-11T00:00:00"/>
    <s v="Baja"/>
    <s v="Media"/>
    <s v="Reemplazo"/>
    <n v="157853"/>
    <s v="MENDIETA, MARTIN JULIAN"/>
    <s v="Renuncia "/>
    <s v="Inderminado "/>
    <m/>
    <m/>
    <m/>
    <m/>
    <m/>
    <m/>
    <m/>
    <m/>
    <m/>
    <m/>
    <m/>
    <m/>
    <m/>
    <m/>
  </r>
  <r>
    <s v="00178"/>
    <d v="2026-02-24T00:00:00"/>
    <n v="63"/>
    <s v="Franco"/>
    <s v="Aprobada"/>
    <m/>
    <m/>
    <m/>
    <m/>
    <x v="0"/>
    <m/>
    <s v="Ventas Retail"/>
    <s v="Comercial"/>
    <x v="0"/>
    <s v="VENDEDOR/A"/>
    <s v="Serafin"/>
    <m/>
    <x v="3"/>
    <x v="4"/>
    <d v="2026-05-11T00:00:00"/>
    <s v="Baja"/>
    <s v="Media"/>
    <s v="Reemplazo"/>
    <n v="1002"/>
    <s v="Ferreyra, Maria Pia"/>
    <s v="Renuncia "/>
    <s v="Inderminado "/>
    <m/>
    <m/>
    <m/>
    <m/>
    <m/>
    <m/>
    <m/>
    <m/>
    <m/>
    <m/>
    <m/>
    <m/>
    <m/>
    <m/>
  </r>
  <r>
    <s v="00179"/>
    <d v="2026-02-26T00:00:00"/>
    <n v="61"/>
    <s v="Franco"/>
    <s v="Aprobada"/>
    <m/>
    <m/>
    <m/>
    <m/>
    <x v="0"/>
    <m/>
    <s v="Ventas Retail"/>
    <s v="Comercial"/>
    <x v="0"/>
    <s v="VENDEDOR/A"/>
    <s v="Serafin"/>
    <m/>
    <x v="3"/>
    <x v="4"/>
    <d v="2026-05-11T00:00:00"/>
    <s v="Baja"/>
    <s v="Media"/>
    <s v="Reemplazo"/>
    <n v="154670"/>
    <s v="GONZALEZ, CONSTANZA ROMINA"/>
    <s v="Renuncia "/>
    <s v="Inderminado "/>
    <m/>
    <m/>
    <m/>
    <m/>
    <m/>
    <m/>
    <m/>
    <m/>
    <m/>
    <m/>
    <m/>
    <m/>
    <m/>
    <m/>
  </r>
  <r>
    <s v="00180"/>
    <d v="2026-02-18T00:00:00"/>
    <s v="Cerrada"/>
    <s v="Jose"/>
    <s v="Aprobada"/>
    <m/>
    <m/>
    <m/>
    <m/>
    <x v="3"/>
    <s v="DESARROLLO"/>
    <s v="Comercial"/>
    <s v="Administración y Finanzas"/>
    <x v="11"/>
    <s v="Analista de datos"/>
    <s v="Alejandro Poeta"/>
    <m/>
    <x v="0"/>
    <x v="0"/>
    <m/>
    <s v="Media"/>
    <s v="Alta "/>
    <s v="Reemplazo"/>
    <m/>
    <s v="Carlos Dominguez"/>
    <m/>
    <s v="Inderminado "/>
    <m/>
    <m/>
    <m/>
    <s v="La Musa"/>
    <d v="2026-03-30T00:00:00"/>
    <d v="2026-04-06T00:00:00"/>
    <s v="Externa"/>
    <s v="Computrabajo "/>
    <s v="Felipe Herrera Duran"/>
    <s v="$1.800.000 netos"/>
    <s v="FUCO"/>
    <m/>
    <s v="No"/>
    <m/>
  </r>
  <r>
    <s v="00181"/>
    <d v="2026-02-18T00:00:00"/>
    <s v="Cerrada"/>
    <s v="Franco"/>
    <s v="Aprobada"/>
    <m/>
    <m/>
    <m/>
    <m/>
    <x v="5"/>
    <m/>
    <s v="Operaciones"/>
    <s v="Operaciones"/>
    <x v="3"/>
    <s v="Administrativo/a de atención al paciente"/>
    <s v="Federico Carrasquera"/>
    <m/>
    <x v="4"/>
    <x v="5"/>
    <m/>
    <s v="Baja"/>
    <s v="Media"/>
    <s v="Reemplazo"/>
    <m/>
    <s v="Jessica Sanchez"/>
    <m/>
    <s v="Inderminado "/>
    <m/>
    <m/>
    <s v="L a V - 13 a 21 hs / S por medio de 8 a 14 ( es la única persona en este horario ) "/>
    <s v="CMV"/>
    <d v="2026-03-13T00:00:00"/>
    <m/>
    <s v="Externa"/>
    <m/>
    <s v="Juliana Paint / Octavio Cuenca"/>
    <s v=" $1.269.476,21"/>
    <s v="Comercio 130/75"/>
    <s v="No"/>
    <s v="No"/>
    <s v="Se cerro con un pase interno"/>
  </r>
  <r>
    <s v="00182"/>
    <d v="2026-01-30T00:00:00"/>
    <n v="88"/>
    <s v="Jose"/>
    <s v="Aprobada"/>
    <m/>
    <m/>
    <m/>
    <m/>
    <x v="3"/>
    <s v="CIRENDSA"/>
    <s v="Hotelería"/>
    <s v="Internación"/>
    <x v="1"/>
    <s v="Supervisor/a de Hotelería"/>
    <s v="Valeria Dodero"/>
    <m/>
    <x v="3"/>
    <x v="4"/>
    <d v="2026-05-11T00:00:00"/>
    <s v="Baja"/>
    <s v="Media"/>
    <s v="Reemplazo"/>
    <m/>
    <s v="Abaca E"/>
    <m/>
    <s v="Inderminado "/>
    <m/>
    <m/>
    <s v=" 6 a 14 hs"/>
    <s v="SANATORIO"/>
    <m/>
    <m/>
    <m/>
    <m/>
    <m/>
    <s v=" $1.513.275,78 bruto /_x0009_ $1.261.886,00 neto"/>
    <s v="122/75"/>
    <s v="No"/>
    <m/>
    <s v="Gladys Servin apto en preocupacional. Vale Dodero decide no avanzar por su psicotécnico"/>
  </r>
  <r>
    <s v="00183"/>
    <d v="2026-02-19T00:00:00"/>
    <s v="Cerrada"/>
    <s v="Jose"/>
    <s v="Aprobada"/>
    <m/>
    <s v="No"/>
    <m/>
    <m/>
    <x v="5"/>
    <m/>
    <s v="Operaciones"/>
    <s v="Operaciones"/>
    <x v="1"/>
    <s v="Referente Administrativo de Atención al Publico"/>
    <s v="Federico Carrasquera"/>
    <m/>
    <x v="0"/>
    <x v="0"/>
    <m/>
    <s v="Media"/>
    <s v="Alta "/>
    <s v="Reemplazo"/>
    <m/>
    <s v="Juan Manuel Guzman"/>
    <m/>
    <s v="Inderminado "/>
    <m/>
    <m/>
    <s v="L a V de 13hs a 21hs / S por medio de 08 a 14hs"/>
    <s v="CMV"/>
    <d v="2026-03-13T00:00:00"/>
    <d v="2026-03-17T00:00:00"/>
    <s v="Externa"/>
    <s v="Computrabajo "/>
    <s v="Yanina de la Rosa"/>
    <s v="$ 1,742,902,82 bruto - $1,418,103 Netos"/>
    <s v="Comercio 130/75"/>
    <s v="No"/>
    <s v="No"/>
    <s v="Referente"/>
  </r>
  <r>
    <s v="00184"/>
    <d v="2026-02-20T00:00:00"/>
    <s v="Cerrada"/>
    <s v="Juanpi"/>
    <s v="Rechazada"/>
    <m/>
    <s v="No"/>
    <s v="No"/>
    <m/>
    <x v="0"/>
    <m/>
    <s v="EXPERIENCIA DE CLIENTES"/>
    <s v="EXPERIENCIA DE CLIENTES"/>
    <x v="7"/>
    <s v="Analista de CX"/>
    <s v="Veronica Casati"/>
    <m/>
    <x v="1"/>
    <x v="1"/>
    <m/>
    <m/>
    <m/>
    <s v="Apertura de puesto"/>
    <m/>
    <m/>
    <m/>
    <s v="Inderminado "/>
    <m/>
    <m/>
    <m/>
    <m/>
    <m/>
    <m/>
    <m/>
    <m/>
    <m/>
    <m/>
    <m/>
    <m/>
    <m/>
    <m/>
  </r>
  <r>
    <s v="00185"/>
    <d v="2026-02-20T00:00:00"/>
    <s v="Cerrada"/>
    <s v="Juanpi"/>
    <s v="Aprobada"/>
    <m/>
    <s v="No"/>
    <s v="No"/>
    <m/>
    <x v="0"/>
    <m/>
    <s v="EXPERIENCIA DE CLIENTES"/>
    <s v="EXPERIENCIA DE CLIENTES"/>
    <x v="1"/>
    <s v="Coordinador/a de Sucursales"/>
    <s v="Veronica Casati"/>
    <m/>
    <x v="4"/>
    <x v="5"/>
    <m/>
    <m/>
    <m/>
    <s v="Reemplazo"/>
    <m/>
    <s v="Leandro Lopez"/>
    <m/>
    <s v="Inderminado "/>
    <m/>
    <m/>
    <m/>
    <m/>
    <m/>
    <m/>
    <m/>
    <m/>
    <m/>
    <m/>
    <m/>
    <m/>
    <m/>
    <m/>
  </r>
  <r>
    <s v="00186"/>
    <d v="2026-02-23T00:00:00"/>
    <s v="Cerrada"/>
    <s v="Ema"/>
    <s v="Aprobada"/>
    <m/>
    <m/>
    <m/>
    <m/>
    <x v="4"/>
    <s v="Healthnes"/>
    <s v="Contact Center"/>
    <s v="Operaciones"/>
    <x v="3"/>
    <s v="Operador call center"/>
    <s v="Zukoski"/>
    <m/>
    <x v="0"/>
    <x v="0"/>
    <m/>
    <s v="Baja"/>
    <s v="Media"/>
    <s v="Reemplazo"/>
    <m/>
    <s v="Oriana Romero"/>
    <m/>
    <s v="Eventual "/>
    <m/>
    <m/>
    <s v="Lunes a Sábados 9 a 14 (25 hs)"/>
    <s v="CONTACT CENTER"/>
    <d v="2026-03-03T00:00:00"/>
    <d v="2026-03-09T00:00:00"/>
    <m/>
    <m/>
    <s v="VANESSA RUIZ"/>
    <s v="$710.649,96 bruto / $567.231,00 neto"/>
    <s v="130/75"/>
    <s v="No"/>
    <s v="No"/>
    <m/>
  </r>
  <r>
    <s v="00187"/>
    <d v="2026-02-23T00:00:00"/>
    <s v="Cerrada"/>
    <s v="Franco"/>
    <s v="Aprobada"/>
    <m/>
    <m/>
    <m/>
    <m/>
    <x v="4"/>
    <s v="Healthnes"/>
    <s v="Contact Center"/>
    <s v="Operaciones"/>
    <x v="3"/>
    <s v="Operador call center"/>
    <s v="Zukoski"/>
    <m/>
    <x v="0"/>
    <x v="0"/>
    <d v="2026-04-21T00:00:00"/>
    <s v="Baja"/>
    <s v="Alta "/>
    <s v="Reemplazo"/>
    <m/>
    <s v="Vera Rose (Camila Beraldi)"/>
    <s v="Renuncia "/>
    <s v="Inderminado "/>
    <m/>
    <m/>
    <s v="Lunes a Viernes 14 a 19 hs. Sábados 9 a 14 hs (25 hs) "/>
    <s v="CONTACT CENTER"/>
    <d v="2026-04-07T00:00:00"/>
    <m/>
    <m/>
    <m/>
    <s v="Oriana Taylor"/>
    <s v=" $710.649,96 bruto /_x0009_ $567.231,00 neto"/>
    <s v="130/75"/>
    <s v="No"/>
    <s v="No"/>
    <m/>
  </r>
  <r>
    <s v="00188"/>
    <d v="2026-02-23T00:00:00"/>
    <s v="Cerrada"/>
    <s v="Ema"/>
    <s v="Aprobada"/>
    <m/>
    <m/>
    <m/>
    <m/>
    <x v="3"/>
    <s v="CIRENDSA"/>
    <s v="Hotelería"/>
    <s v="Internación"/>
    <x v="4"/>
    <s v="MUCAMO/A"/>
    <s v="Valeria Dodero"/>
    <m/>
    <x v="0"/>
    <x v="0"/>
    <m/>
    <s v="Baja"/>
    <s v="Baja "/>
    <s v="Reemplazo"/>
    <m/>
    <s v="Melisa Aponte"/>
    <s v="Renuncia "/>
    <s v="Inderminado "/>
    <m/>
    <m/>
    <s v="6 a 14 hs"/>
    <s v="SANATORIO"/>
    <d v="2026-04-20T00:00:00"/>
    <d v="2026-04-20T00:00:00"/>
    <m/>
    <m/>
    <s v="PAULA MENDEZ"/>
    <s v="Eventual. Se efectiviza el puesto"/>
    <s v="122/75"/>
    <s v="No"/>
    <s v="No"/>
    <m/>
  </r>
  <r>
    <s v="00189"/>
    <d v="2026-02-23T00:00:00"/>
    <n v="64"/>
    <s v="Juanpi"/>
    <s v="Aprobada"/>
    <m/>
    <m/>
    <m/>
    <m/>
    <x v="4"/>
    <s v="Healtnes"/>
    <s v="Mantenimiento"/>
    <s v="Servicios de Apoyo"/>
    <x v="8"/>
    <s v="ARQUITECTO/A"/>
    <s v="Emilio Zalis"/>
    <m/>
    <x v="2"/>
    <x v="2"/>
    <d v="2026-06-15T00:00:00"/>
    <s v="Alta "/>
    <s v="Media"/>
    <s v="Reemplazo"/>
    <m/>
    <s v="Confidencial "/>
    <m/>
    <s v="Inderminado "/>
    <m/>
    <m/>
    <m/>
    <m/>
    <m/>
    <m/>
    <m/>
    <m/>
    <m/>
    <m/>
    <m/>
    <m/>
    <m/>
    <m/>
  </r>
  <r>
    <s v="00190"/>
    <d v="2026-02-25T00:00:00"/>
    <s v="Cerrada"/>
    <s v="Ema"/>
    <s v="Aprobada"/>
    <m/>
    <s v="No"/>
    <s v="No"/>
    <m/>
    <x v="3"/>
    <s v="CIRENDSA"/>
    <s v="Enfermeria"/>
    <s v="INTERNACION"/>
    <x v="6"/>
    <s v="Enfermero/a de Internación"/>
    <s v="Noelia Alvez"/>
    <m/>
    <x v="0"/>
    <x v="0"/>
    <m/>
    <s v="Baja"/>
    <s v="Baja"/>
    <s v="Reemplazo"/>
    <n v="159255"/>
    <s v="Ruiz Palma Elvira"/>
    <s v="Renuncia "/>
    <s v="Indeterminado "/>
    <m/>
    <m/>
    <s v="6 a 14 hs"/>
    <s v="SANATORIO"/>
    <d v="2026-04-20T00:00:00"/>
    <d v="2026-04-20T00:00:00"/>
    <m/>
    <m/>
    <s v="HELEN QUENTA"/>
    <s v="Eventual. Se efectiviza el puesto"/>
    <s v="122/75"/>
    <s v="No"/>
    <s v="No"/>
    <m/>
  </r>
  <r>
    <s v="00191"/>
    <d v="2026-02-25T00:00:00"/>
    <s v="Cerrada"/>
    <s v="Ema"/>
    <s v="Aprobada"/>
    <m/>
    <m/>
    <m/>
    <m/>
    <x v="3"/>
    <s v="CIRENDSA"/>
    <s v="Enfermeria"/>
    <s v="INTERNACION"/>
    <x v="6"/>
    <s v="Enfermero/a de Internación"/>
    <s v="Noelia Alvez"/>
    <m/>
    <x v="0"/>
    <x v="0"/>
    <m/>
    <s v="Baja"/>
    <s v="Alta "/>
    <s v="Reemplazo"/>
    <m/>
    <s v="Ana Cespedes"/>
    <s v="Sobre cápita"/>
    <s v="Indeterminado "/>
    <m/>
    <m/>
    <s v="TM - 6 a 14 hs"/>
    <s v="SANATORIO"/>
    <d v="2026-04-20T00:00:00"/>
    <d v="2026-04-20T00:00:00"/>
    <m/>
    <m/>
    <m/>
    <s v="Eventual. Se efectiviza el puesto"/>
    <s v="122/75"/>
    <s v="No"/>
    <s v="No"/>
    <s v="CM TM / Sobre Cápita"/>
  </r>
  <r>
    <s v="00192"/>
    <d v="2026-02-26T00:00:00"/>
    <n v="61"/>
    <s v="Juanpi"/>
    <s v="Aprobada"/>
    <m/>
    <s v="Si"/>
    <m/>
    <m/>
    <x v="4"/>
    <m/>
    <s v="Compras"/>
    <s v="Administración y Finanzas"/>
    <x v="1"/>
    <s v="Gerente/a de Compras"/>
    <s v="Emilio Zalis"/>
    <s v="Maria Rodriguez"/>
    <x v="2"/>
    <x v="3"/>
    <d v="2026-06-15T00:00:00"/>
    <s v="Alta"/>
    <s v="Alta "/>
    <s v="Apertura de puesto"/>
    <m/>
    <m/>
    <m/>
    <s v="Inderminado "/>
    <m/>
    <m/>
    <m/>
    <m/>
    <m/>
    <m/>
    <m/>
    <m/>
    <m/>
    <m/>
    <m/>
    <m/>
    <m/>
    <s v="Se abre nuevamente la búsqueda. El proceso anterior inicio en 10/2025. Con esta nueva apertura se busca un perfil con foco en compras pero con potencial para tomar áreas de administración y operación"/>
  </r>
  <r>
    <s v="00193"/>
    <d v="2026-02-26T00:00:00"/>
    <s v="Cerrada"/>
    <s v="Ema"/>
    <s v="Aprobada"/>
    <m/>
    <m/>
    <m/>
    <m/>
    <x v="3"/>
    <m/>
    <s v="Enfermeria"/>
    <s v="INTERNACION"/>
    <x v="6"/>
    <s v="Enfermero/a de Internación"/>
    <s v="Noelia Alvez"/>
    <m/>
    <x v="0"/>
    <x v="0"/>
    <d v="2026-04-13T00:00:00"/>
    <s v="Baja"/>
    <s v="Alta "/>
    <s v="Reemplazo"/>
    <m/>
    <s v="Jhaneth Choque"/>
    <s v="Sobre cápita"/>
    <s v="Inderminado "/>
    <m/>
    <m/>
    <s v="TM - 6 a 14 hs"/>
    <s v="SANATORIO"/>
    <d v="2026-04-20T00:00:00"/>
    <d v="2026-04-20T00:00:00"/>
    <m/>
    <m/>
    <s v="CHUGAR CASTRO JUAN OMAR"/>
    <s v="Eventual. Se efectiviza el puesto"/>
    <m/>
    <m/>
    <m/>
    <s v="CM TM / Sobre Cápita"/>
  </r>
  <r>
    <s v="00194"/>
    <d v="2026-02-26T00:00:00"/>
    <s v="Cerrada"/>
    <s v="Franco"/>
    <s v="Aprobada"/>
    <m/>
    <m/>
    <m/>
    <m/>
    <x v="4"/>
    <s v="Healthnes"/>
    <s v="Contact Center"/>
    <s v="Operaciones"/>
    <x v="3"/>
    <s v="Operador call center"/>
    <s v="Zukoski"/>
    <m/>
    <x v="0"/>
    <x v="0"/>
    <d v="2026-04-21T00:00:00"/>
    <s v="Baja"/>
    <s v="Alta "/>
    <s v="Reemplazo"/>
    <m/>
    <s v="Valeria Rojas"/>
    <m/>
    <s v="Inderminado "/>
    <m/>
    <m/>
    <s v="Lunes a Viernes 15 a 20 hs. Sábados 9 a 14 hs (25 hs)"/>
    <s v="CONTACT CENTER"/>
    <d v="2026-04-07T00:00:00"/>
    <m/>
    <m/>
    <m/>
    <s v="Luz Gassman"/>
    <s v=" $710.649,96 bruto /_x0009_ $567.231,00 neto"/>
    <s v="130/75"/>
    <s v="No"/>
    <s v="No"/>
    <m/>
  </r>
  <r>
    <s v="00195"/>
    <d v="2026-02-27T00:00:00"/>
    <s v="Cerrada"/>
    <s v="Ema"/>
    <s v="Aprobada"/>
    <m/>
    <m/>
    <m/>
    <m/>
    <x v="3"/>
    <s v="CIRENDSA"/>
    <s v="Hotelería"/>
    <s v="Internación"/>
    <x v="4"/>
    <s v="MUCAMO/A"/>
    <s v="Valeria Dodero"/>
    <m/>
    <x v="0"/>
    <x v="0"/>
    <m/>
    <s v="Baja"/>
    <m/>
    <s v="Reemplazo"/>
    <m/>
    <s v="Ayelen Sanchez"/>
    <s v="Renuncia "/>
    <s v="Inderminado "/>
    <m/>
    <m/>
    <s v="14 A 22 HS. Eventual por licencia prolongada de 120019 ROBLES MARTA"/>
    <s v="SANATORIO"/>
    <m/>
    <d v="2026-04-08T00:00:00"/>
    <s v="Externa"/>
    <m/>
    <s v="CRISTINA BRAVO"/>
    <s v=" $1.052.963,43 bruto /_x0009_ $875.067,00 neto"/>
    <s v="122/75"/>
    <s v="No"/>
    <s v="No"/>
    <m/>
  </r>
  <r>
    <s v="00196"/>
    <d v="2026-02-28T00:00:00"/>
    <s v="Cerrada"/>
    <s v="Franco"/>
    <s v="Aprobada"/>
    <m/>
    <m/>
    <m/>
    <m/>
    <x v="3"/>
    <s v="CIRENDSA"/>
    <s v="Laboratorio"/>
    <s v="Laboratorio"/>
    <x v="5"/>
    <s v="Tecnico/a de Laboratorio"/>
    <s v="Scarcelli"/>
    <m/>
    <x v="0"/>
    <x v="9"/>
    <m/>
    <s v="Baja"/>
    <m/>
    <s v="Reemplazo"/>
    <m/>
    <s v="Daiana Bordas"/>
    <m/>
    <s v="Inderminado "/>
    <m/>
    <m/>
    <s v="14:00 a 22:00 de lunes a sabados"/>
    <s v="SANATORIO"/>
    <m/>
    <d v="2026-03-20T00:00:00"/>
    <m/>
    <m/>
    <s v="VIOLETA CHINSKI"/>
    <s v=" $1.520.037,13 bruto /_x0009_ $1.032.783,00 neto"/>
    <s v="122/75"/>
    <s v="No"/>
    <s v="No"/>
    <m/>
  </r>
  <r>
    <s v="00197"/>
    <d v="2026-02-28T00:00:00"/>
    <s v="Cerrada"/>
    <s v="Ema"/>
    <s v="Aprobada"/>
    <m/>
    <m/>
    <m/>
    <m/>
    <x v="3"/>
    <s v="CIRENDSA"/>
    <s v="Admisión"/>
    <s v="Consultorios Externos"/>
    <x v="3"/>
    <s v="Administrativa/o de Laboratorio"/>
    <s v="Gomez"/>
    <m/>
    <x v="0"/>
    <x v="0"/>
    <m/>
    <s v="Baja"/>
    <s v="Media"/>
    <s v="Reemplazo"/>
    <m/>
    <s v="Sofia de la Peña"/>
    <m/>
    <s v="Inderminado "/>
    <m/>
    <m/>
    <s v="Lu a Vie 08 a 16 hs - Sabado x medio 07 a 15 hs "/>
    <s v="SANATORIO"/>
    <m/>
    <d v="2026-03-23T00:00:00"/>
    <m/>
    <m/>
    <s v="STEFANIA AGÜEROS"/>
    <s v=" $1.164.203,77 bruto /_x0009_ $976.802,50 neto"/>
    <s v="122/75"/>
    <s v="No"/>
    <s v="No"/>
    <m/>
  </r>
  <r>
    <s v="00198"/>
    <d v="2026-03-02T00:00:00"/>
    <s v="Cerrada"/>
    <s v="Ema"/>
    <s v="Aprobada"/>
    <m/>
    <m/>
    <m/>
    <m/>
    <x v="3"/>
    <s v="CIRENDSA"/>
    <s v="Enfermeria"/>
    <s v="Terapia Intensiva"/>
    <x v="6"/>
    <s v="Enfermero/a de Terapia Intensiva"/>
    <s v="Noelia Alvez"/>
    <m/>
    <x v="0"/>
    <x v="0"/>
    <m/>
    <s v="Baja"/>
    <s v="Alta "/>
    <s v="Reemplazo"/>
    <m/>
    <s v="Cristian Flores"/>
    <s v="Renuncia "/>
    <s v="Inderminado "/>
    <m/>
    <m/>
    <s v="TT - 14 a 22 HS"/>
    <s v="SANATORIO"/>
    <d v="2026-03-23T00:00:00"/>
    <d v="2026-04-08T00:00:00"/>
    <m/>
    <m/>
    <s v="CARLOS QUINTEROS"/>
    <s v="&quot; $1.444.204,15 bruto /_x0009_ $1.205.247,26 neto&quot;"/>
    <s v="122/75"/>
    <s v="No"/>
    <s v="No"/>
    <m/>
  </r>
  <r>
    <s v="00199"/>
    <d v="2026-03-05T00:00:00"/>
    <n v="54"/>
    <s v="Franco"/>
    <s v="Aprobada"/>
    <m/>
    <m/>
    <m/>
    <m/>
    <x v="0"/>
    <m/>
    <s v="Ventas Retail"/>
    <s v="Comercial"/>
    <x v="0"/>
    <s v="VENDEDOR/A"/>
    <s v="Serafin"/>
    <m/>
    <x v="3"/>
    <x v="4"/>
    <d v="2026-05-11T00:00:00"/>
    <s v="Baja"/>
    <s v="Media"/>
    <s v="Reemplazo"/>
    <n v="168093"/>
    <s v="PEREDA, VANESSA RITA"/>
    <s v="Renuncia "/>
    <s v="Inderminado "/>
    <m/>
    <m/>
    <m/>
    <m/>
    <m/>
    <m/>
    <m/>
    <m/>
    <m/>
    <m/>
    <m/>
    <m/>
    <m/>
    <m/>
  </r>
  <r>
    <s v="00200"/>
    <d v="2026-03-05T00:00:00"/>
    <n v="54"/>
    <s v="Franco"/>
    <s v="Aprobada"/>
    <m/>
    <m/>
    <m/>
    <m/>
    <x v="0"/>
    <m/>
    <s v="Ventas Retail"/>
    <s v="Comercial"/>
    <x v="0"/>
    <s v="VENDEDOR/A"/>
    <s v="Serafin"/>
    <m/>
    <x v="3"/>
    <x v="4"/>
    <d v="2026-05-11T00:00:00"/>
    <s v="Baja"/>
    <s v="Media"/>
    <s v="Reemplazo"/>
    <n v="818"/>
    <s v="Contreras, Paula"/>
    <s v="Renuncia "/>
    <s v="Inderminado "/>
    <m/>
    <m/>
    <m/>
    <m/>
    <m/>
    <m/>
    <m/>
    <m/>
    <m/>
    <m/>
    <m/>
    <m/>
    <m/>
    <m/>
  </r>
  <r>
    <s v="00201"/>
    <d v="2026-03-23T00:00:00"/>
    <n v="36"/>
    <s v="Franco"/>
    <s v="Aprobada"/>
    <m/>
    <m/>
    <m/>
    <m/>
    <x v="0"/>
    <m/>
    <s v="Ventas Retail"/>
    <s v="Comercial"/>
    <x v="0"/>
    <s v="VENDEDOR/A"/>
    <s v="Serafin"/>
    <m/>
    <x v="3"/>
    <x v="4"/>
    <d v="2026-05-11T00:00:00"/>
    <s v="Baja"/>
    <s v="Media"/>
    <s v="Reemplazo"/>
    <n v="1036"/>
    <s v="Miranda, Daira"/>
    <s v="Renuncia "/>
    <s v="Inderminado "/>
    <m/>
    <m/>
    <m/>
    <m/>
    <m/>
    <m/>
    <m/>
    <m/>
    <m/>
    <m/>
    <m/>
    <m/>
    <m/>
    <m/>
  </r>
  <r>
    <s v="00202"/>
    <d v="2026-03-23T00:00:00"/>
    <n v="36"/>
    <s v="Franco"/>
    <s v="Aprobada"/>
    <m/>
    <m/>
    <m/>
    <m/>
    <x v="0"/>
    <m/>
    <s v="Ventas Retail"/>
    <s v="Comercial"/>
    <x v="0"/>
    <s v="VENDEDOR/A"/>
    <s v="Serafin"/>
    <m/>
    <x v="3"/>
    <x v="4"/>
    <d v="2026-05-11T00:00:00"/>
    <s v="Baja"/>
    <s v="Media"/>
    <s v="Reemplazo"/>
    <n v="170601"/>
    <s v="ROJAS VIDABLE, ROMINA LORENA"/>
    <s v="Renuncia "/>
    <s v="Inderminado "/>
    <m/>
    <m/>
    <m/>
    <m/>
    <m/>
    <m/>
    <m/>
    <m/>
    <m/>
    <m/>
    <m/>
    <m/>
    <m/>
    <m/>
  </r>
  <r>
    <s v="00203"/>
    <d v="2026-03-26T00:00:00"/>
    <n v="33"/>
    <s v="Franco"/>
    <s v="Aprobada"/>
    <m/>
    <m/>
    <m/>
    <m/>
    <x v="0"/>
    <m/>
    <s v="Ventas Retail"/>
    <s v="Comercial"/>
    <x v="0"/>
    <s v="VENDEDOR/A"/>
    <s v="Serafin"/>
    <m/>
    <x v="3"/>
    <x v="4"/>
    <d v="2026-05-11T00:00:00"/>
    <s v="Baja"/>
    <s v="Media"/>
    <s v="Reemplazo"/>
    <n v="170649"/>
    <s v="DREE, JOEL IGNACIO"/>
    <s v="Desvinculación empresa"/>
    <s v="Inderminado "/>
    <m/>
    <m/>
    <m/>
    <m/>
    <m/>
    <m/>
    <m/>
    <m/>
    <m/>
    <m/>
    <m/>
    <m/>
    <m/>
    <m/>
  </r>
  <r>
    <s v="00204"/>
    <d v="2026-03-30T00:00:00"/>
    <n v="29"/>
    <s v="Franco"/>
    <s v="Aprobada"/>
    <m/>
    <m/>
    <m/>
    <m/>
    <x v="0"/>
    <m/>
    <s v="Ventas Retail"/>
    <s v="Comercial"/>
    <x v="0"/>
    <s v="VENDEDOR/A"/>
    <s v="Serafin"/>
    <m/>
    <x v="3"/>
    <x v="4"/>
    <d v="2026-05-11T00:00:00"/>
    <s v="Baja"/>
    <s v="Media"/>
    <s v="Reemplazo"/>
    <n v="1099"/>
    <s v="GONZALEZ, RODRIGO CRISTIAN EMMANUEL"/>
    <s v="Renuncia "/>
    <s v="Inderminado "/>
    <m/>
    <m/>
    <m/>
    <m/>
    <m/>
    <m/>
    <m/>
    <m/>
    <m/>
    <m/>
    <m/>
    <m/>
    <m/>
    <m/>
  </r>
  <r>
    <s v="00205"/>
    <d v="2026-03-06T00:00:00"/>
    <s v="Cerrada"/>
    <s v="Franco"/>
    <s v="Aprobada"/>
    <m/>
    <s v="No"/>
    <m/>
    <m/>
    <x v="5"/>
    <m/>
    <s v="OPERACIONES"/>
    <s v="Operaciones"/>
    <x v="3"/>
    <s v="Administrativo/a de atención al paciente"/>
    <s v="Federico Carrasquera"/>
    <m/>
    <x v="4"/>
    <x v="5"/>
    <m/>
    <s v="Baja"/>
    <s v="Media"/>
    <s v="Reemplazo"/>
    <m/>
    <s v="Lorena Gramajo"/>
    <s v="Renuncia "/>
    <s v="Inderminado "/>
    <m/>
    <m/>
    <s v="L a V de 09hs a 17hs o 13hs a 21hs / S por medio de 07 a 15hs"/>
    <s v="CMV"/>
    <m/>
    <m/>
    <m/>
    <m/>
    <s v="Raul Croes"/>
    <m/>
    <m/>
    <m/>
    <m/>
    <m/>
  </r>
  <r>
    <s v="00206"/>
    <d v="2026-03-06T00:00:00"/>
    <s v="Cerrada"/>
    <s v="Jose"/>
    <s v="Rechazada"/>
    <m/>
    <s v="No"/>
    <s v="No"/>
    <m/>
    <x v="4"/>
    <m/>
    <s v="Compras"/>
    <s v="COMPRAS"/>
    <x v="3"/>
    <s v="Administrativo/a de compras"/>
    <s v="Fernando Gini"/>
    <s v="Solange Calle"/>
    <x v="1"/>
    <x v="1"/>
    <m/>
    <s v="Baja"/>
    <s v="Media"/>
    <s v="Apertura de puesto"/>
    <m/>
    <m/>
    <s v="Aumento de trabajo "/>
    <s v="Inderminado "/>
    <m/>
    <m/>
    <m/>
    <m/>
    <m/>
    <m/>
    <s v="Interna"/>
    <m/>
    <m/>
    <m/>
    <m/>
    <m/>
    <m/>
    <m/>
  </r>
  <r>
    <s v="00207"/>
    <d v="2026-03-09T00:00:00"/>
    <s v="Cerrada"/>
    <s v="Jose"/>
    <s v="Aprobada"/>
    <m/>
    <m/>
    <m/>
    <m/>
    <x v="3"/>
    <m/>
    <s v="Hemoterapia"/>
    <s v="Hemoterapia"/>
    <x v="5"/>
    <s v="Tecnico/a de Hemoterapia"/>
    <s v="Gonzalez"/>
    <m/>
    <x v="0"/>
    <x v="0"/>
    <m/>
    <s v="Media "/>
    <s v="Alta "/>
    <s v="Reemplazo"/>
    <m/>
    <s v="Lic SANCHEZ, ROSA ESTER"/>
    <s v="Licencia "/>
    <s v="Eventual "/>
    <m/>
    <m/>
    <s v="L a V de 14 a 21h, Sábado de 8 a 12h"/>
    <s v="SANATORIO"/>
    <d v="2026-04-09T00:00:00"/>
    <d v="2025-04-20T00:00:00"/>
    <s v="Externa"/>
    <s v="Referidos"/>
    <s v="Fátima Belén Bisetti"/>
    <s v="$ 1.582.090,14 bruto - $1.307.919,50 neto"/>
    <s v="Sanidad 122/75"/>
    <s v="No"/>
    <s v="No"/>
    <s v="Hemoterapia / Eventual por lic prolongada"/>
  </r>
  <r>
    <s v="00208"/>
    <d v="2026-03-09T00:00:00"/>
    <n v="50"/>
    <s v="Jose"/>
    <s v="Aprobada"/>
    <m/>
    <s v="Si"/>
    <s v="Si"/>
    <m/>
    <x v="3"/>
    <s v="Desarrollos en Salud SA"/>
    <s v="BIOINGENIERIA"/>
    <s v="Bioingenieria"/>
    <x v="5"/>
    <s v="Tecnico/a de Bioingeniería"/>
    <s v="Javier Luder"/>
    <m/>
    <x v="3"/>
    <x v="4"/>
    <d v="2026-05-11T00:00:00"/>
    <s v="Media "/>
    <s v="Alta "/>
    <s v="Reemplazo"/>
    <m/>
    <s v="Ignacio Boris Ahumada"/>
    <s v="Desvinculación empresa"/>
    <s v="Inderminado "/>
    <m/>
    <m/>
    <m/>
    <m/>
    <m/>
    <m/>
    <m/>
    <m/>
    <m/>
    <m/>
    <m/>
    <m/>
    <m/>
    <m/>
  </r>
  <r>
    <s v="00209"/>
    <d v="2026-03-09T00:00:00"/>
    <n v="50"/>
    <s v="Jose"/>
    <s v="Aprobada"/>
    <m/>
    <s v="Si"/>
    <s v="Si"/>
    <m/>
    <x v="3"/>
    <m/>
    <s v="CIRUGIA"/>
    <s v="Quirófano"/>
    <x v="5"/>
    <s v="Tecnico/a de Hemodinamia"/>
    <s v="Samaja"/>
    <m/>
    <x v="3"/>
    <x v="4"/>
    <d v="2026-05-11T00:00:00"/>
    <s v="Alta "/>
    <s v="Alta "/>
    <s v="Reemplazo"/>
    <m/>
    <s v="Liz Marlene Rodriguez"/>
    <s v="Desvinculación empresa"/>
    <s v="Inderminado "/>
    <m/>
    <m/>
    <m/>
    <m/>
    <m/>
    <m/>
    <m/>
    <m/>
    <m/>
    <m/>
    <m/>
    <m/>
    <m/>
    <m/>
  </r>
  <r>
    <s v="00210"/>
    <d v="2026-03-09T00:00:00"/>
    <n v="50"/>
    <s v="Juanpi"/>
    <s v="Aprobada"/>
    <m/>
    <s v="Si"/>
    <s v="No"/>
    <m/>
    <x v="4"/>
    <m/>
    <m/>
    <m/>
    <x v="1"/>
    <s v="Jefe/a de Padron y Aportes"/>
    <s v="Emilio Zalis"/>
    <s v="Maria Rodriguez"/>
    <x v="2"/>
    <x v="3"/>
    <d v="2026-06-15T00:00:00"/>
    <s v="Alta "/>
    <s v="Alta "/>
    <s v="Apertura de puesto"/>
    <m/>
    <m/>
    <s v="Reorganización del área"/>
    <s v="Inderminado "/>
    <m/>
    <m/>
    <m/>
    <s v="Amenabar"/>
    <m/>
    <m/>
    <m/>
    <m/>
    <m/>
    <m/>
    <m/>
    <m/>
    <m/>
    <m/>
  </r>
  <r>
    <s v="00211"/>
    <d v="2026-03-09T00:00:00"/>
    <s v="Cerrada"/>
    <s v="Juanpi"/>
    <s v="Rechazada"/>
    <m/>
    <s v="No"/>
    <m/>
    <m/>
    <x v="0"/>
    <m/>
    <s v="Servicios de Administración"/>
    <m/>
    <x v="1"/>
    <s v="Coordinador/a de Sucursales"/>
    <s v="Nacho Jauregui"/>
    <m/>
    <x v="1"/>
    <x v="1"/>
    <m/>
    <s v="N/A"/>
    <s v="N/A"/>
    <s v="Reemplazo"/>
    <m/>
    <s v="Veronica Casati "/>
    <s v="Renuncia "/>
    <s v="Inderminado "/>
    <m/>
    <m/>
    <m/>
    <m/>
    <m/>
    <m/>
    <m/>
    <m/>
    <m/>
    <m/>
    <m/>
    <m/>
    <m/>
    <m/>
  </r>
  <r>
    <s v="00212"/>
    <d v="2026-03-09T00:00:00"/>
    <n v="50"/>
    <s v="Juanpi"/>
    <s v="Aprobada"/>
    <m/>
    <s v="No"/>
    <m/>
    <m/>
    <x v="4"/>
    <m/>
    <s v="GESTION DE PERSONAS"/>
    <s v="ADMINISTRACION Y FINANZAS"/>
    <x v="7"/>
    <s v="Analista de Procesos de RRHH"/>
    <s v="Daniela Librizzi"/>
    <m/>
    <x v="3"/>
    <x v="4"/>
    <d v="2026-05-11T00:00:00"/>
    <s v="Alta "/>
    <s v="Alta "/>
    <s v="Reemplazo"/>
    <m/>
    <s v="Eduardo "/>
    <s v="Desvinculación empresa"/>
    <s v="Inderminado "/>
    <m/>
    <m/>
    <m/>
    <s v="La Musa"/>
    <m/>
    <m/>
    <s v="Externa"/>
    <m/>
    <m/>
    <m/>
    <m/>
    <m/>
    <m/>
    <m/>
  </r>
  <r>
    <s v="00213"/>
    <d v="2026-03-12T00:00:00"/>
    <n v="47"/>
    <s v="Ema"/>
    <s v="Aprobada"/>
    <m/>
    <m/>
    <m/>
    <m/>
    <x v="3"/>
    <s v="CIRENDSA"/>
    <s v="Enfermeria"/>
    <s v="Terapia Intensiva"/>
    <x v="6"/>
    <s v="Enfermero/a de Terapia Intensiva"/>
    <s v="Noelia Alvez"/>
    <m/>
    <x v="3"/>
    <x v="6"/>
    <d v="2026-05-04T00:00:00"/>
    <s v="Baja"/>
    <s v="Alta "/>
    <s v="Reemplazo"/>
    <m/>
    <s v="Sofia Ptasik"/>
    <s v="Desvinculación empresa"/>
    <s v="Inderminado "/>
    <m/>
    <m/>
    <s v="6 a 14 hs"/>
    <s v="SANATORIO"/>
    <d v="2026-04-20T00:00:00"/>
    <d v="2026-05-04T00:00:00"/>
    <s v="Externa"/>
    <m/>
    <s v="Vanesa Baez"/>
    <s v=" $1.732.557,22 bruto /_x0009_ $1.445.732,50 neto"/>
    <s v="122/75"/>
    <m/>
    <m/>
    <m/>
  </r>
  <r>
    <s v="00214"/>
    <d v="2026-03-12T00:00:00"/>
    <n v="47"/>
    <s v="Ema"/>
    <s v="Aprobada"/>
    <m/>
    <m/>
    <m/>
    <m/>
    <x v="3"/>
    <s v="CIRENDSA"/>
    <s v="Enfermeria"/>
    <s v="INTERNACION"/>
    <x v="6"/>
    <s v="Enfermero/a de Internación"/>
    <s v="Noelia Alvez"/>
    <m/>
    <x v="2"/>
    <x v="7"/>
    <d v="2026-05-18T00:00:00"/>
    <s v="Baja"/>
    <s v="Alta "/>
    <s v="Reemplazo"/>
    <m/>
    <s v="Camila Smidt"/>
    <s v="Renuncia "/>
    <s v="Inderminado "/>
    <m/>
    <m/>
    <s v="TM - 6 a 14 hs"/>
    <s v="SANATORIO"/>
    <m/>
    <m/>
    <m/>
    <m/>
    <m/>
    <m/>
    <m/>
    <m/>
    <m/>
    <s v="CM TM"/>
  </r>
  <r>
    <s v="00215"/>
    <d v="2026-03-12T00:00:00"/>
    <s v="Cerrada"/>
    <s v="Ema"/>
    <s v="Aprobada"/>
    <m/>
    <m/>
    <m/>
    <m/>
    <x v="3"/>
    <s v="CIRENDSA"/>
    <s v="Enfermeria"/>
    <s v="INTERNACION"/>
    <x v="6"/>
    <s v="Enfermero/a de Internación"/>
    <s v="Noelia Alvez"/>
    <m/>
    <x v="0"/>
    <x v="0"/>
    <m/>
    <s v="Baja"/>
    <s v="Alta "/>
    <s v="Reemplazo"/>
    <m/>
    <s v="Vitte Lorena"/>
    <s v="Licencia "/>
    <s v="Eventual "/>
    <m/>
    <m/>
    <s v="TM - 6 a 14 hs"/>
    <s v="SANATORIO"/>
    <d v="2026-04-01T00:00:00"/>
    <d v="2026-04-08T00:00:00"/>
    <m/>
    <m/>
    <s v="ROMINA SUAREZ"/>
    <s v="Eventual por licencia"/>
    <s v="122/75"/>
    <s v="No"/>
    <s v="No"/>
    <s v="CM TM - Licencia x maternidad"/>
  </r>
  <r>
    <s v="00216"/>
    <d v="2026-03-12T00:00:00"/>
    <s v="Cerrada"/>
    <s v="Franco"/>
    <s v="Aprobada"/>
    <m/>
    <m/>
    <m/>
    <m/>
    <x v="4"/>
    <s v="Healthnes"/>
    <s v="Contact Center"/>
    <s v="Operaciones"/>
    <x v="3"/>
    <s v="Operador call center"/>
    <s v="Zukoski"/>
    <m/>
    <x v="0"/>
    <x v="0"/>
    <d v="2026-04-21T00:00:00"/>
    <s v="Baja"/>
    <s v="Alta "/>
    <s v="Reemplazo"/>
    <m/>
    <s v="ALVAREZ GRASSI, NICOLE CARLA (Beatrice Perdomo)"/>
    <s v="Licencia "/>
    <s v="Eventual "/>
    <m/>
    <m/>
    <s v="full time, de Lunes, Martes y Miércoles de 8 a 18 y Jueves y Viernes de 9 a 18."/>
    <s v="CONTACT CENTER"/>
    <d v="2026-04-07T00:00:00"/>
    <m/>
    <m/>
    <m/>
    <s v="Sofía González Larreal"/>
    <s v=" $1.264.501,58 bruto /_x0009_ $1.032.990,00 neto"/>
    <s v="130/75"/>
    <s v="No"/>
    <s v="No"/>
    <m/>
  </r>
  <r>
    <s v="00217"/>
    <d v="2026-03-12T00:00:00"/>
    <n v="47"/>
    <s v="Ema"/>
    <s v="Aprobada"/>
    <m/>
    <m/>
    <m/>
    <m/>
    <x v="3"/>
    <s v="CIRENDSA"/>
    <s v="Hotelería"/>
    <s v="Internación"/>
    <x v="4"/>
    <s v="MUCAMO/A"/>
    <s v="Valeria Dodero"/>
    <m/>
    <x v="3"/>
    <x v="6"/>
    <d v="2026-05-04T00:00:00"/>
    <s v="Baja"/>
    <s v="Media"/>
    <s v="Reemplazo"/>
    <m/>
    <s v="Maria Belen Rios"/>
    <s v="Desvinculación empresa"/>
    <s v="Eventual "/>
    <m/>
    <m/>
    <s v="14 A 22 HS. Eventual por licencia prolongada de 159156 ANDREA MAREQUE"/>
    <s v="SANATORIO"/>
    <d v="2026-04-20T00:00:00"/>
    <d v="2026-05-04T00:00:00"/>
    <s v="Externa"/>
    <m/>
    <s v="Lorena Garcia"/>
    <s v=" $1.123.895,63 bruto /_x0009_ $946.630,00 neto"/>
    <s v="122/75"/>
    <s v="No"/>
    <s v="No"/>
    <s v="14 A 22 HS. Eventual por licencia prolongada de 159156 ANDREA MAREQUE"/>
  </r>
  <r>
    <s v="00218"/>
    <d v="2026-03-12T00:00:00"/>
    <s v="Cerrada"/>
    <s v="Franco"/>
    <s v="Aprobada"/>
    <m/>
    <m/>
    <m/>
    <m/>
    <x v="4"/>
    <s v="Healtnes"/>
    <s v="Contact Center"/>
    <s v="Operaciones"/>
    <x v="3"/>
    <s v="Operador call center"/>
    <s v="Zukoski"/>
    <m/>
    <x v="0"/>
    <x v="0"/>
    <d v="2026-04-21T00:00:00"/>
    <s v="Baja"/>
    <s v="Alta "/>
    <s v="Reemplazo"/>
    <m/>
    <s v="Nancy Arias"/>
    <s v="Licencia "/>
    <s v="Eventual "/>
    <m/>
    <m/>
    <s v="Lunes a Viernes 9 a 18 hs por Licencia Prol 340 Nancy Arias"/>
    <s v="CONTACT CENTER"/>
    <d v="2026-04-07T00:00:00"/>
    <m/>
    <m/>
    <m/>
    <s v="Luna Celeste Lentini"/>
    <s v=" $1.264.501,58 bruto /_x0009_ $1.032.990,00 neto"/>
    <s v="130/75"/>
    <s v="No"/>
    <s v="No"/>
    <s v="Le dio mal el preoc a Martina Cruz, se retoma la busqueda"/>
  </r>
  <r>
    <s v="00219"/>
    <d v="2026-03-12T00:00:00"/>
    <s v="Cerrada"/>
    <s v="Franco"/>
    <s v="Aprobada"/>
    <m/>
    <m/>
    <m/>
    <m/>
    <x v="4"/>
    <s v="Healthnes SA"/>
    <s v="CONTACT CENTER"/>
    <s v="Operaciones"/>
    <x v="3"/>
    <s v="Operador call center"/>
    <s v="Zukoski"/>
    <m/>
    <x v="0"/>
    <x v="0"/>
    <m/>
    <s v="Baja"/>
    <s v="Alta "/>
    <s v="Reemplazo"/>
    <m/>
    <s v="MARCOS ORTIZ OSCAR"/>
    <s v="Desvinculación empresa"/>
    <s v="Inderminado "/>
    <m/>
    <m/>
    <s v=" lunes a jueves de 11:00 a 20:00 viernes de 12:00 a 20:00 y sábados de 8:00 a 12:00"/>
    <s v="CONTACT CENTER"/>
    <d v="2026-03-11T00:00:00"/>
    <d v="2026-04-08T00:00:00"/>
    <s v="Externa"/>
    <m/>
    <s v="Francisco Olivera"/>
    <s v=" $1.264.501,58 bruto /_x0009_ $1.032.990,00 neto"/>
    <s v="130/75"/>
    <s v="No"/>
    <s v="No"/>
    <m/>
  </r>
  <r>
    <s v="00220"/>
    <d v="2026-03-12T00:00:00"/>
    <s v="Cerrada"/>
    <s v="Franco"/>
    <s v="Aprobada"/>
    <m/>
    <m/>
    <m/>
    <m/>
    <x v="4"/>
    <s v="Healthnes SA"/>
    <s v="CONTACT CENTER"/>
    <s v="Operaciones"/>
    <x v="3"/>
    <s v="Operador call center"/>
    <s v="Zukoski"/>
    <m/>
    <x v="0"/>
    <x v="0"/>
    <m/>
    <s v="Baja"/>
    <s v="Alta "/>
    <s v="Reemplazo"/>
    <m/>
    <s v="Juana D'andrea"/>
    <s v="Desvinculación empresa"/>
    <s v="Inderminado "/>
    <m/>
    <m/>
    <s v="Lunes a Viernes 12 a 17 hs, Sábados 9 a 14 hs (25 hs)"/>
    <s v="CONTACT CENTER"/>
    <d v="2026-03-11T00:00:00"/>
    <d v="2026-04-08T00:00:00"/>
    <s v="Externa"/>
    <m/>
    <s v="Santiago Rivera"/>
    <s v="&quot; $710.649,96 bruto /_x0009_ $567.231,00 neto&quot;"/>
    <s v="130/75"/>
    <s v="No"/>
    <s v="No"/>
    <m/>
  </r>
  <r>
    <s v="00221"/>
    <d v="2026-03-12T00:00:00"/>
    <s v="Cerrada"/>
    <s v="Franco"/>
    <s v="Aprobada"/>
    <m/>
    <m/>
    <m/>
    <m/>
    <x v="4"/>
    <s v="Healthnes SA"/>
    <s v="CONTACT CENTER"/>
    <s v="Operaciones"/>
    <x v="3"/>
    <s v="Operador call center"/>
    <s v="Zukoski"/>
    <m/>
    <x v="0"/>
    <x v="0"/>
    <m/>
    <s v="Baja"/>
    <s v="Alta "/>
    <s v="Reemplazo"/>
    <n v="154571"/>
    <s v="Fiorella Larregina"/>
    <s v="Renuncia "/>
    <s v="Inderminado "/>
    <m/>
    <m/>
    <s v="Lunes a Sábados 9 a 14 hs (25 hs)"/>
    <s v="CONTACT CENTER"/>
    <d v="2026-03-11T00:00:00"/>
    <d v="2026-03-23T00:00:00"/>
    <m/>
    <m/>
    <s v="Sonia Escasena"/>
    <s v="&quot; $710.649,96 bruto /_x0009_ $567.231,00 neto&quot;"/>
    <s v="130/75"/>
    <s v="No"/>
    <s v="No"/>
    <m/>
  </r>
  <r>
    <s v="00222"/>
    <d v="2026-03-17T00:00:00"/>
    <s v="Cerrada"/>
    <s v="Ema"/>
    <s v="Aprobada"/>
    <m/>
    <s v="No"/>
    <s v="Si"/>
    <m/>
    <x v="3"/>
    <m/>
    <s v="ADMISION"/>
    <s v="Consultorios Externos"/>
    <x v="3"/>
    <s v="Administrativo/a de Consultoríos Externos"/>
    <s v="Gomez"/>
    <m/>
    <x v="0"/>
    <x v="0"/>
    <m/>
    <m/>
    <m/>
    <s v="Reemplazo"/>
    <m/>
    <s v="GOITIA PEREZ, DARIANA NAZARET"/>
    <s v="Desvinculación empresa"/>
    <s v="Inderminado "/>
    <m/>
    <m/>
    <s v="Lu a Vie 14 a 20 hs - Sabado x medio 07 a 13 hs "/>
    <s v="SANATORIO"/>
    <m/>
    <d v="2026-03-23T00:00:00"/>
    <m/>
    <m/>
    <s v="CAREN AZAME"/>
    <s v=" $842.805,08 bruto /_x0009_ $697.077,50 neto"/>
    <m/>
    <m/>
    <m/>
    <m/>
  </r>
  <r>
    <s v="00223"/>
    <d v="2026-03-17T00:00:00"/>
    <s v="Cerrada"/>
    <s v="Ema"/>
    <s v="Aprobada"/>
    <m/>
    <s v="No"/>
    <s v="Si"/>
    <m/>
    <x v="3"/>
    <m/>
    <s v="Enfermeria"/>
    <s v="Internación"/>
    <x v="6"/>
    <s v="Enfermero/a de Internación"/>
    <s v="Noelia Alvez"/>
    <m/>
    <x v="1"/>
    <x v="1"/>
    <m/>
    <m/>
    <m/>
    <s v="Reemplazo"/>
    <m/>
    <s v="MORANT ARTEAGA JUAN CARLOS"/>
    <s v="Desvinculación empresa"/>
    <s v="Inderminado "/>
    <m/>
    <m/>
    <s v="TN - 22 a 06"/>
    <s v="SANATORIO"/>
    <m/>
    <m/>
    <m/>
    <m/>
    <m/>
    <m/>
    <m/>
    <m/>
    <m/>
    <m/>
  </r>
  <r>
    <s v="00224"/>
    <d v="2026-03-17T00:00:00"/>
    <s v="Cerrada"/>
    <s v="Ema"/>
    <s v="Aprobada"/>
    <m/>
    <s v="No"/>
    <s v="Si"/>
    <m/>
    <x v="3"/>
    <m/>
    <s v="Enfermeria"/>
    <s v="Internación"/>
    <x v="6"/>
    <s v="Enfermero/a de Internación"/>
    <s v="Noelia Alvez"/>
    <m/>
    <x v="1"/>
    <x v="1"/>
    <m/>
    <m/>
    <m/>
    <s v="Reemplazo"/>
    <m/>
    <s v="HERRERA ERIKA YANINA "/>
    <s v="Desvinculación empresa"/>
    <s v="Inderminado "/>
    <m/>
    <m/>
    <s v="TM - 6 a 14 hs"/>
    <s v="SANATORIO"/>
    <m/>
    <m/>
    <m/>
    <m/>
    <m/>
    <m/>
    <m/>
    <m/>
    <m/>
    <m/>
  </r>
  <r>
    <s v="00225"/>
    <d v="2026-03-17T00:00:00"/>
    <s v="Cerrada"/>
    <s v="Ema"/>
    <s v="Aprobada"/>
    <m/>
    <s v="No"/>
    <s v="Si"/>
    <m/>
    <x v="3"/>
    <m/>
    <s v="HOTELERIA"/>
    <s v="INTERNACION"/>
    <x v="4"/>
    <s v="PEON"/>
    <s v="Valeria Dodero"/>
    <m/>
    <x v="0"/>
    <x v="0"/>
    <d v="2026-04-20T00:00:00"/>
    <s v="Baja"/>
    <s v="Baja "/>
    <s v="Reemplazo"/>
    <n v="166950"/>
    <s v="MELILLAN AITOR ALEXIS"/>
    <s v="Desvinculación empresa"/>
    <s v="Indeterminado "/>
    <m/>
    <m/>
    <s v="22 a 6 hs"/>
    <s v="SANATORIO"/>
    <d v="2026-04-20T00:00:00"/>
    <d v="2026-04-20T00:00:00"/>
    <m/>
    <m/>
    <s v="Lihuel Rodriguez"/>
    <s v="Eventual. Se efectiviza el puesto"/>
    <s v="122/75"/>
    <m/>
    <m/>
    <m/>
  </r>
  <r>
    <s v="00226"/>
    <d v="2026-03-17T00:00:00"/>
    <s v="Cerrada"/>
    <s v="Ema"/>
    <s v="Aprobada"/>
    <m/>
    <s v="No"/>
    <s v="Si"/>
    <m/>
    <x v="3"/>
    <m/>
    <s v="HOTELERIA"/>
    <s v="INTERNACION"/>
    <x v="4"/>
    <s v="MUCAMO/A"/>
    <s v="Valeria Dodero"/>
    <m/>
    <x v="1"/>
    <x v="1"/>
    <m/>
    <m/>
    <m/>
    <s v="Reemplazo"/>
    <m/>
    <s v="GALEANO HERRERO LIZ PAOLA"/>
    <s v="Desvinculación empresa"/>
    <m/>
    <m/>
    <m/>
    <m/>
    <s v="SANATORIO"/>
    <m/>
    <m/>
    <m/>
    <m/>
    <m/>
    <m/>
    <m/>
    <m/>
    <m/>
    <m/>
  </r>
  <r>
    <s v="00227"/>
    <d v="2026-03-17T00:00:00"/>
    <n v="42"/>
    <s v="Jose"/>
    <s v="Aprobada"/>
    <m/>
    <s v="No"/>
    <s v="No"/>
    <m/>
    <x v="4"/>
    <m/>
    <s v="LEGALES"/>
    <s v="ADMINISTRACION Y FINANZAS"/>
    <x v="8"/>
    <s v="Abogado/a comercial societario"/>
    <s v="Eduardo Zalis "/>
    <m/>
    <x v="2"/>
    <x v="3"/>
    <d v="2026-05-18T00:00:00"/>
    <s v="Media "/>
    <s v="Alta "/>
    <s v="Reemplazo"/>
    <m/>
    <s v="Maria Soledad Tognozzi"/>
    <s v="Renuncia "/>
    <s v="Inderminado "/>
    <m/>
    <m/>
    <m/>
    <s v="La Musa - Piso 9"/>
    <m/>
    <m/>
    <m/>
    <m/>
    <m/>
    <m/>
    <m/>
    <m/>
    <m/>
    <m/>
  </r>
  <r>
    <s v="00228"/>
    <d v="2026-03-17T00:00:00"/>
    <s v="Cerrada"/>
    <s v="Ema"/>
    <s v="Aprobada"/>
    <m/>
    <m/>
    <m/>
    <m/>
    <x v="3"/>
    <m/>
    <s v="TERAPISTAS INTENSIVOS"/>
    <s v="Terapia Intensiva"/>
    <x v="2"/>
    <s v="MEDICO/A"/>
    <s v="Salcedo"/>
    <m/>
    <x v="0"/>
    <x v="0"/>
    <m/>
    <m/>
    <s v="Alta "/>
    <s v="Reemplazo"/>
    <m/>
    <s v="RODRIGUEZ CASSO, RODOLFO HERNAN"/>
    <s v="Desvinculación empresa"/>
    <s v="Inderminado "/>
    <m/>
    <m/>
    <s v="Miércoles 8 a 20 hs + Viernes 20 a 8 hs"/>
    <s v="SANATORIO"/>
    <d v="2026-04-07T00:00:00"/>
    <m/>
    <m/>
    <m/>
    <s v="Evelyn Gladys Ergueta"/>
    <s v=" $ 2.555.900 bruto / $ 2.082.000 neto"/>
    <s v="AMAP"/>
    <s v="No"/>
    <s v="No"/>
    <m/>
  </r>
  <r>
    <s v="00229"/>
    <d v="2026-03-17T00:00:00"/>
    <s v="Cerrada"/>
    <s v="Ema"/>
    <s v="Aprobada"/>
    <m/>
    <m/>
    <m/>
    <m/>
    <x v="3"/>
    <m/>
    <s v="TERAPISTAS INTENSIVOS"/>
    <s v="Terapia Intensiva"/>
    <x v="2"/>
    <s v="MEDICO/A"/>
    <s v="Salcedo"/>
    <m/>
    <x v="0"/>
    <x v="0"/>
    <m/>
    <m/>
    <s v="Alta "/>
    <s v="Reemplazo"/>
    <m/>
    <s v="WALL, DEBORAH"/>
    <s v="Desvinculación empresa"/>
    <s v="Inderminado "/>
    <m/>
    <m/>
    <s v="Miércoles 8 a 20 hs + Viernes 20 a 8 hs"/>
    <s v="SANATORIO"/>
    <d v="2026-04-07T00:00:00"/>
    <m/>
    <m/>
    <m/>
    <s v="Evelyn Gladys Ergueta"/>
    <s v=" $ 2.555.900 bruto / $ 2.082.000 neto"/>
    <s v="AMAP"/>
    <s v="No"/>
    <s v="No"/>
    <m/>
  </r>
  <r>
    <s v="00230"/>
    <d v="2026-03-17T00:00:00"/>
    <n v="42"/>
    <s v="Jose"/>
    <s v="Aprobada"/>
    <m/>
    <s v="Si"/>
    <m/>
    <m/>
    <x v="4"/>
    <m/>
    <s v="CONVENIOS Y CONTRATACIONES"/>
    <s v="ADMINISTRACION Y FINANZAS"/>
    <x v="7"/>
    <s v="Analista de Contrataciones"/>
    <s v="LEONETTI, LAURA LORENA"/>
    <m/>
    <x v="2"/>
    <x v="3"/>
    <d v="2026-06-01T00:00:00"/>
    <s v="Alta "/>
    <s v="Alta "/>
    <s v="Reemplazo"/>
    <m/>
    <s v="Gladys"/>
    <m/>
    <s v="Inderminado "/>
    <m/>
    <m/>
    <m/>
    <m/>
    <m/>
    <m/>
    <m/>
    <m/>
    <m/>
    <m/>
    <m/>
    <m/>
    <m/>
    <m/>
  </r>
  <r>
    <s v="00231"/>
    <d v="2026-03-17T00:00:00"/>
    <n v="42"/>
    <s v="Jose"/>
    <s v="Aprobada"/>
    <m/>
    <s v="No"/>
    <m/>
    <m/>
    <x v="4"/>
    <m/>
    <s v="CONVENIOS Y CONTRATACIONES"/>
    <s v="ADMINISTRACION Y FINANZAS"/>
    <x v="7"/>
    <s v="Analista de Contrataciones"/>
    <s v="LEONETTI, LAURA LORENA"/>
    <m/>
    <x v="2"/>
    <x v="3"/>
    <d v="2026-06-01T00:00:00"/>
    <s v="Alta "/>
    <s v="Alta "/>
    <s v="Apertura de puesto"/>
    <m/>
    <m/>
    <m/>
    <s v="Inderminado "/>
    <m/>
    <m/>
    <m/>
    <m/>
    <m/>
    <m/>
    <m/>
    <m/>
    <m/>
    <m/>
    <m/>
    <m/>
    <m/>
    <m/>
  </r>
  <r>
    <s v="00232"/>
    <d v="2026-03-17T00:00:00"/>
    <s v="Cerrada"/>
    <s v="Franco"/>
    <s v="Aprobada"/>
    <m/>
    <m/>
    <m/>
    <m/>
    <x v="3"/>
    <m/>
    <s v="ADMISION"/>
    <s v="Consultorios Externos"/>
    <x v="3"/>
    <s v="Administrativo/a de Consultoríos Externos"/>
    <s v="Gomez"/>
    <m/>
    <x v="0"/>
    <x v="0"/>
    <m/>
    <m/>
    <m/>
    <s v="Reemplazo"/>
    <m/>
    <s v="astrada silvina"/>
    <s v="Desvinculación empresa"/>
    <s v="Inderminado "/>
    <m/>
    <m/>
    <s v="Lu a Vie 14 a 20 hs - Sabado x medio 07 a 13 hs"/>
    <s v="SANATORIO"/>
    <m/>
    <d v="2026-03-23T00:00:00"/>
    <m/>
    <m/>
    <s v="BARBARA CRETA"/>
    <s v=" $842.805,08 bruto /_x0009_ $697.077,50 neto"/>
    <m/>
    <m/>
    <m/>
    <m/>
  </r>
  <r>
    <s v="00233"/>
    <d v="2026-03-17T00:00:00"/>
    <s v="Cerrada"/>
    <s v="Franco"/>
    <s v="Cancelada"/>
    <m/>
    <m/>
    <m/>
    <m/>
    <x v="3"/>
    <m/>
    <s v="ADMISION"/>
    <s v="Consultorios Externos"/>
    <x v="3"/>
    <s v="Administrativo/a de Consultoríos Externos"/>
    <s v="Gomez"/>
    <m/>
    <x v="4"/>
    <x v="5"/>
    <m/>
    <m/>
    <m/>
    <s v="Reemplazo"/>
    <m/>
    <s v="Erika Acuña renuncia viernes 27/3"/>
    <s v="Renuncia "/>
    <m/>
    <m/>
    <m/>
    <m/>
    <m/>
    <m/>
    <m/>
    <m/>
    <m/>
    <m/>
    <m/>
    <m/>
    <m/>
    <m/>
    <s v="No renuncio"/>
  </r>
  <r>
    <s v="00234"/>
    <d v="2026-03-17T00:00:00"/>
    <s v="Cerrada"/>
    <s v="Franco"/>
    <s v="Aprobada"/>
    <m/>
    <m/>
    <m/>
    <m/>
    <x v="3"/>
    <m/>
    <s v="ADMISION"/>
    <s v="Consultorios Externos"/>
    <x v="3"/>
    <s v="Administrativo/a de Consultoríos Externos"/>
    <s v="Gomez"/>
    <m/>
    <x v="0"/>
    <x v="0"/>
    <m/>
    <m/>
    <m/>
    <s v="Reemplazo"/>
    <m/>
    <s v="Roncoroni Romina"/>
    <m/>
    <s v="Inderminado "/>
    <m/>
    <m/>
    <s v="Lun a Vie 6 a 14 hs + Sábados 7 a 13 hs"/>
    <s v="SANATORIO"/>
    <m/>
    <d v="2026-03-23T00:00:00"/>
    <m/>
    <m/>
    <s v="IARA ACUÑA"/>
    <s v="$1.164.203,77 bruto /$976.802,50 neto"/>
    <s v="122/75"/>
    <s v="No"/>
    <s v="No"/>
    <m/>
  </r>
  <r>
    <s v="00235"/>
    <d v="2026-03-17T00:00:00"/>
    <s v="Cerrada"/>
    <s v="Franco"/>
    <s v="Aprobada"/>
    <m/>
    <m/>
    <m/>
    <m/>
    <x v="3"/>
    <m/>
    <s v="ADMISION"/>
    <s v="Consultorios Externos"/>
    <x v="3"/>
    <s v="Administrativo/a de Consultoríos Externos"/>
    <s v="Gomez"/>
    <m/>
    <x v="0"/>
    <x v="0"/>
    <m/>
    <m/>
    <m/>
    <s v="Reemplazo"/>
    <m/>
    <s v="Colombo Lucas"/>
    <m/>
    <m/>
    <m/>
    <m/>
    <m/>
    <m/>
    <m/>
    <d v="2026-03-23T00:00:00"/>
    <m/>
    <m/>
    <s v="Barbara Creta"/>
    <m/>
    <m/>
    <m/>
    <m/>
    <m/>
  </r>
  <r>
    <s v="00236"/>
    <d v="2026-03-17T00:00:00"/>
    <s v="Cerrada"/>
    <s v="Franco"/>
    <s v="Aprobada"/>
    <m/>
    <m/>
    <m/>
    <m/>
    <x v="3"/>
    <m/>
    <s v="ADMISION"/>
    <s v="Consultorios Externos"/>
    <x v="3"/>
    <s v="Administrativo/a de Consultoríos Externos"/>
    <s v="Gomez"/>
    <m/>
    <x v="0"/>
    <x v="0"/>
    <m/>
    <m/>
    <m/>
    <s v="Reemplazo"/>
    <m/>
    <s v="Benitez Carolina"/>
    <m/>
    <m/>
    <m/>
    <m/>
    <m/>
    <m/>
    <m/>
    <d v="2026-03-23T00:00:00"/>
    <m/>
    <m/>
    <s v="Agueros Capri Stefani"/>
    <m/>
    <m/>
    <m/>
    <m/>
    <m/>
  </r>
  <r>
    <s v="00237"/>
    <d v="2026-03-17T00:00:00"/>
    <s v="Cerrada"/>
    <s v="Franco"/>
    <s v="Cancelada"/>
    <m/>
    <m/>
    <m/>
    <m/>
    <x v="3"/>
    <m/>
    <s v="ADMISION"/>
    <s v="Consultorios Externos"/>
    <x v="3"/>
    <s v="Administrativo/a de Consultoríos Externos"/>
    <s v="Gomez"/>
    <m/>
    <x v="1"/>
    <x v="1"/>
    <m/>
    <m/>
    <m/>
    <s v="Reemplazo"/>
    <m/>
    <s v="Morrone Nicolas"/>
    <m/>
    <m/>
    <m/>
    <m/>
    <m/>
    <m/>
    <m/>
    <d v="2026-03-23T00:00:00"/>
    <m/>
    <m/>
    <s v="Acuña Iara"/>
    <m/>
    <m/>
    <m/>
    <m/>
    <s v="Se cancela vacante , error de apertura. Vacante cubierta por Yamila Pacheco"/>
  </r>
  <r>
    <s v="00238"/>
    <d v="2026-03-17T00:00:00"/>
    <s v="Cerrada"/>
    <s v="Franco"/>
    <s v="Aprobada"/>
    <m/>
    <m/>
    <s v="Si"/>
    <s v="22/07/2026 ( fin de pp)"/>
    <x v="3"/>
    <m/>
    <s v="ADMISION"/>
    <s v="Consultorios Externos"/>
    <x v="3"/>
    <s v="Administrativo/a de Consultoríos Externos"/>
    <s v="Gomez"/>
    <m/>
    <x v="4"/>
    <x v="5"/>
    <m/>
    <m/>
    <m/>
    <s v="Reemplazo"/>
    <m/>
    <s v="Posible Baja: Lucila Cortez"/>
    <s v="Desvinculación empresa"/>
    <m/>
    <m/>
    <m/>
    <m/>
    <m/>
    <m/>
    <m/>
    <m/>
    <m/>
    <m/>
    <m/>
    <m/>
    <m/>
    <m/>
    <m/>
  </r>
  <r>
    <s v="00239"/>
    <d v="2026-03-20T00:00:00"/>
    <n v="39"/>
    <s v="Ema"/>
    <s v="Aprobada"/>
    <m/>
    <m/>
    <m/>
    <m/>
    <x v="3"/>
    <s v="CIRENDSA"/>
    <s v="Enfermeria"/>
    <s v="Terapia Intensiva"/>
    <x v="6"/>
    <s v="Enfermero/a de Terapia Intensiva"/>
    <s v="Noelia Alvez"/>
    <m/>
    <x v="2"/>
    <x v="7"/>
    <d v="2026-05-18T00:00:00"/>
    <s v="Baja"/>
    <s v="Alta "/>
    <s v="Reemplazo"/>
    <m/>
    <s v="Leiva Matias"/>
    <s v="Desvinculación empresa"/>
    <s v="Indeterminado "/>
    <m/>
    <m/>
    <s v="6 a 14 hs"/>
    <s v="SANATORIO"/>
    <m/>
    <m/>
    <m/>
    <m/>
    <m/>
    <m/>
    <m/>
    <m/>
    <m/>
    <m/>
  </r>
  <r>
    <s v="00240"/>
    <d v="2026-03-23T00:00:00"/>
    <s v="Cerrada"/>
    <s v="Ema"/>
    <s v="Aprobada"/>
    <m/>
    <m/>
    <m/>
    <m/>
    <x v="3"/>
    <m/>
    <s v="Enfermeria"/>
    <s v="INTERNACION"/>
    <x v="6"/>
    <s v="Enfermero/a de Internación"/>
    <s v="Noelia Alvez"/>
    <m/>
    <x v="0"/>
    <x v="0"/>
    <m/>
    <m/>
    <m/>
    <s v="Reemplazo"/>
    <m/>
    <s v="Lorena Vilte"/>
    <s v="Licencia "/>
    <s v="Plazo Fijo"/>
    <m/>
    <m/>
    <s v="6 a 14 hs como eventual por licencia prolongada 156461 Lorena Vilte"/>
    <s v="SANATORIO"/>
    <d v="2026-03-23T00:00:00"/>
    <d v="2026-04-08T00:00:00"/>
    <m/>
    <m/>
    <s v="ROMINA SUAREZ"/>
    <s v=" $1.223.571,44 bruto /_x0009_ $1.024.328,50 neto"/>
    <s v="122/75"/>
    <s v="No"/>
    <s v="No"/>
    <m/>
  </r>
  <r>
    <s v="00241"/>
    <d v="2026-03-25T00:00:00"/>
    <n v="34"/>
    <s v="Ema"/>
    <s v="Aprobada"/>
    <m/>
    <m/>
    <m/>
    <m/>
    <x v="3"/>
    <m/>
    <s v="Enfermeria"/>
    <s v="INTERNACION"/>
    <x v="6"/>
    <s v="Enfermero/a de Internación"/>
    <s v="Noelia Alvez"/>
    <m/>
    <x v="3"/>
    <x v="6"/>
    <d v="2026-05-04T00:00:00"/>
    <s v="Baja"/>
    <s v="Alta "/>
    <s v="Reemplazo"/>
    <n v="161467"/>
    <s v="PADILLA CHAMBI, JHOSELIN SOLEDAD"/>
    <s v="Movimiento interno"/>
    <s v="Inderminado "/>
    <m/>
    <m/>
    <s v="TT - 14 a 22 HS"/>
    <s v="SANATORIO"/>
    <d v="2026-04-27T00:00:00"/>
    <d v="2026-05-04T00:00:00"/>
    <m/>
    <m/>
    <s v="NADIA CABANA"/>
    <s v=" $1.303.213,92 bruto /_x0009_ $1.093.671,00 neto"/>
    <s v="122/75"/>
    <s v="No"/>
    <s v="No"/>
    <m/>
  </r>
  <r>
    <s v="00242"/>
    <d v="2026-03-25T00:00:00"/>
    <s v="Cerrada"/>
    <s v="Ema"/>
    <s v="Aprobada"/>
    <m/>
    <m/>
    <m/>
    <m/>
    <x v="3"/>
    <m/>
    <s v="Clínica Médica"/>
    <s v="Clinica Medica"/>
    <x v="2"/>
    <s v="MEDICO/A"/>
    <s v="Barone"/>
    <m/>
    <x v="0"/>
    <x v="0"/>
    <m/>
    <s v="Media "/>
    <s v="Alta "/>
    <s v="Reemplazo"/>
    <m/>
    <s v="Lima Pedro"/>
    <s v="Renuncia "/>
    <s v="Inderminado "/>
    <m/>
    <m/>
    <s v="Lunes a Viernes 8 a 14 hs"/>
    <s v="SANATORIO"/>
    <d v="2026-04-07T00:00:00"/>
    <m/>
    <m/>
    <m/>
    <s v="Diego Gabela"/>
    <s v=" $2.667.475,65 bruto /_x0009_ $2.173.992,66 neto"/>
    <s v="AMAP"/>
    <s v="No"/>
    <s v="No"/>
    <m/>
  </r>
  <r>
    <s v="00243"/>
    <d v="2026-03-26T00:00:00"/>
    <n v="33"/>
    <s v="Ema"/>
    <s v="Aprobada"/>
    <m/>
    <m/>
    <m/>
    <m/>
    <x v="5"/>
    <m/>
    <s v="OPERACIONES"/>
    <s v="Operaciones"/>
    <x v="5"/>
    <s v="Técnico de prácticas Cardiológicas"/>
    <s v="Claudia Alí"/>
    <m/>
    <x v="2"/>
    <x v="2"/>
    <d v="2026-05-18T00:00:00"/>
    <s v="Media "/>
    <s v="Alta "/>
    <s v="Reemplazo"/>
    <m/>
    <s v="Alejandro Aguinaga"/>
    <m/>
    <s v="Inderminado "/>
    <m/>
    <m/>
    <s v="L a S – Jornada laboral de 8 horas con horario rotativo_x000a_y flexible acorde a la programación de agendas"/>
    <s v="CMV"/>
    <m/>
    <m/>
    <m/>
    <m/>
    <m/>
    <m/>
    <m/>
    <m/>
    <m/>
    <m/>
  </r>
  <r>
    <s v="00244"/>
    <d v="2026-03-26T00:00:00"/>
    <n v="33"/>
    <s v="Jose"/>
    <s v="Aprobada"/>
    <m/>
    <s v="No"/>
    <m/>
    <m/>
    <x v="5"/>
    <m/>
    <s v="OPERACIONES"/>
    <s v="Operaciones"/>
    <x v="1"/>
    <s v="Referente de Instrumentación"/>
    <s v="Federico Carrasquera"/>
    <m/>
    <x v="2"/>
    <x v="2"/>
    <d v="2026-06-01T00:00:00"/>
    <s v="Alta "/>
    <s v="Media"/>
    <s v="Apertura de puesto"/>
    <m/>
    <m/>
    <m/>
    <s v="Inderminado "/>
    <m/>
    <m/>
    <s v="Jornada flexible acorde a la actividad"/>
    <s v="CMV"/>
    <m/>
    <m/>
    <m/>
    <m/>
    <m/>
    <m/>
    <m/>
    <s v="Si"/>
    <m/>
    <m/>
  </r>
  <r>
    <s v="00245"/>
    <d v="2026-03-27T00:00:00"/>
    <s v="Cerrada"/>
    <s v="Ema"/>
    <s v="Aprobada"/>
    <m/>
    <m/>
    <m/>
    <m/>
    <x v="3"/>
    <m/>
    <s v="Enfermeria"/>
    <s v="INTERNACION"/>
    <x v="6"/>
    <s v="Enfermero/a de Internación"/>
    <s v="Noelia Alvez"/>
    <m/>
    <x v="1"/>
    <x v="7"/>
    <m/>
    <s v="Baja"/>
    <s v="Alta "/>
    <s v="Reemplazo"/>
    <m/>
    <m/>
    <m/>
    <s v="Inderminado "/>
    <m/>
    <m/>
    <s v="TT - 14 a 22 HS"/>
    <s v="SANATORIO"/>
    <m/>
    <m/>
    <m/>
    <m/>
    <m/>
    <m/>
    <m/>
    <m/>
    <m/>
    <m/>
  </r>
  <r>
    <s v="00246"/>
    <d v="2026-03-27T00:00:00"/>
    <s v="Cerrada"/>
    <s v="Ema"/>
    <s v="Aprobada"/>
    <m/>
    <m/>
    <m/>
    <m/>
    <x v="3"/>
    <m/>
    <s v="Enfermeria"/>
    <s v="INTERNACION"/>
    <x v="6"/>
    <s v="Enfermero/a de Internación"/>
    <s v="Noelia Alvez"/>
    <m/>
    <x v="1"/>
    <x v="7"/>
    <m/>
    <s v="Baja"/>
    <s v="Alta "/>
    <m/>
    <m/>
    <s v="Sobre cápita"/>
    <s v="Sobre cápita"/>
    <s v="Inderminado "/>
    <m/>
    <m/>
    <s v="TT - 14 a 22 HS"/>
    <s v="SANATORIO"/>
    <m/>
    <m/>
    <m/>
    <m/>
    <m/>
    <m/>
    <m/>
    <m/>
    <m/>
    <m/>
  </r>
  <r>
    <s v="00247"/>
    <d v="2026-03-27T00:00:00"/>
    <s v="Cerrada"/>
    <s v="Ema"/>
    <s v="Aprobada"/>
    <m/>
    <m/>
    <m/>
    <m/>
    <x v="3"/>
    <m/>
    <s v="Enfermeria"/>
    <s v="INTERNACION"/>
    <x v="6"/>
    <s v="Enfermero/a de Internación"/>
    <s v="Noelia Alvez"/>
    <m/>
    <x v="1"/>
    <x v="7"/>
    <m/>
    <s v="Baja"/>
    <s v="Alta "/>
    <s v="Apertura de puesto"/>
    <m/>
    <s v="Sobre cápita"/>
    <s v="Sobre cápita"/>
    <s v="Inderminado "/>
    <m/>
    <m/>
    <s v="TT - 14 a 22 HS"/>
    <s v="SANATORIO"/>
    <m/>
    <m/>
    <m/>
    <m/>
    <m/>
    <m/>
    <m/>
    <m/>
    <m/>
    <m/>
  </r>
  <r>
    <s v="00248"/>
    <d v="2026-03-27T00:00:00"/>
    <s v="Cerrada"/>
    <s v="Ema"/>
    <s v="Aprobada"/>
    <m/>
    <m/>
    <m/>
    <m/>
    <x v="3"/>
    <m/>
    <s v="Enfermeria"/>
    <s v="INTERNACION"/>
    <x v="6"/>
    <s v="Enfermero/a de Internación"/>
    <s v="Noelia Alvez"/>
    <m/>
    <x v="1"/>
    <x v="7"/>
    <m/>
    <s v="Baja"/>
    <s v="Alta "/>
    <s v="Apertura de puesto"/>
    <m/>
    <s v="Sobre cápita"/>
    <s v="Sobre cápita"/>
    <s v="Inderminado "/>
    <m/>
    <m/>
    <s v="TT - 14 a 22 HS"/>
    <s v="SANATORIO"/>
    <m/>
    <m/>
    <m/>
    <m/>
    <m/>
    <m/>
    <m/>
    <m/>
    <m/>
    <m/>
  </r>
  <r>
    <s v="00249"/>
    <d v="2026-03-27T00:00:00"/>
    <s v="Cerrada"/>
    <s v="Ema"/>
    <s v="Aprobada"/>
    <m/>
    <m/>
    <m/>
    <m/>
    <x v="3"/>
    <m/>
    <s v="Enfermeria"/>
    <s v="INTERNACION"/>
    <x v="6"/>
    <s v="Enfermero/a de Internación"/>
    <s v="Noelia Alvez"/>
    <m/>
    <x v="0"/>
    <x v="0"/>
    <m/>
    <s v="Baja"/>
    <s v="Alta "/>
    <s v="Apertura de puesto"/>
    <m/>
    <s v="Sobre cápita"/>
    <s v="Sobre cápita"/>
    <s v="Indeterminado "/>
    <m/>
    <m/>
    <s v="TN - 22 a 6 HS"/>
    <s v="SANATORIO"/>
    <d v="2026-04-20T00:00:00"/>
    <d v="2026-04-20T00:00:00"/>
    <m/>
    <m/>
    <s v="Nancy Prieto "/>
    <s v="Eventual. Se efectiviza el puesto"/>
    <m/>
    <m/>
    <m/>
    <m/>
  </r>
  <r>
    <s v="00250"/>
    <d v="2026-03-27T00:00:00"/>
    <s v="Cerrada"/>
    <s v="Ema"/>
    <s v="Aprobada"/>
    <m/>
    <m/>
    <m/>
    <m/>
    <x v="3"/>
    <m/>
    <s v="Enfermeria"/>
    <s v="INTERNACION"/>
    <x v="6"/>
    <s v="Enfermero/a de Internación"/>
    <s v="Noelia Alvez"/>
    <m/>
    <x v="0"/>
    <x v="0"/>
    <m/>
    <s v="Baja"/>
    <s v="Alta "/>
    <s v="Apertura de puesto"/>
    <m/>
    <s v="Sobre cápita"/>
    <s v="Sobre cápita"/>
    <s v="Indeterminado "/>
    <m/>
    <m/>
    <s v="TN - 22 a 6 HS"/>
    <s v="SANATORIO"/>
    <d v="2026-04-20T00:00:00"/>
    <d v="2026-04-20T00:00:00"/>
    <m/>
    <m/>
    <s v="Audrey Pulido "/>
    <s v="Eventual. Se efectiviza el puesto"/>
    <m/>
    <m/>
    <m/>
    <m/>
  </r>
  <r>
    <s v="00251"/>
    <d v="2026-03-27T00:00:00"/>
    <s v="Cerrada"/>
    <s v="Ema"/>
    <s v="Aprobada"/>
    <m/>
    <m/>
    <m/>
    <m/>
    <x v="3"/>
    <s v="Desarrollos en Salud SA"/>
    <s v="Enfermeria"/>
    <s v="Área Cerrada"/>
    <x v="6"/>
    <s v="Enfermero/a de área cerrada (UCO/UTI)"/>
    <s v="Noelia Alvez"/>
    <m/>
    <x v="1"/>
    <x v="10"/>
    <m/>
    <s v="Baja"/>
    <s v="Alta "/>
    <s v="Apertura de puesto"/>
    <m/>
    <s v="Sobre cápita"/>
    <s v="Sobre cápita"/>
    <s v="Inderminado "/>
    <m/>
    <m/>
    <m/>
    <s v="SANATORIO"/>
    <m/>
    <m/>
    <m/>
    <m/>
    <m/>
    <m/>
    <m/>
    <m/>
    <m/>
    <m/>
  </r>
  <r>
    <s v="00252"/>
    <d v="2026-03-27T00:00:00"/>
    <s v="Cerrada"/>
    <s v="Ema"/>
    <s v="Aprobada"/>
    <m/>
    <m/>
    <m/>
    <m/>
    <x v="3"/>
    <s v="Desarrollos en Salud SA"/>
    <s v="Enfermeria"/>
    <s v="Área Cerrada"/>
    <x v="6"/>
    <s v="Enfermero/a de área cerrada (UCO/UTI)"/>
    <s v="Noelia Alvez"/>
    <m/>
    <x v="1"/>
    <x v="10"/>
    <m/>
    <s v="Baja"/>
    <s v="Alta "/>
    <s v="Apertura de puesto"/>
    <m/>
    <s v="Sobre cápita"/>
    <s v="Sobre cápita"/>
    <s v="Inderminado "/>
    <m/>
    <m/>
    <m/>
    <s v="SANATORIO"/>
    <m/>
    <m/>
    <m/>
    <m/>
    <m/>
    <m/>
    <m/>
    <m/>
    <m/>
    <m/>
  </r>
  <r>
    <s v="00253"/>
    <d v="2026-03-30T00:00:00"/>
    <n v="29"/>
    <s v="Ema"/>
    <s v="Aprobada"/>
    <m/>
    <s v="Si"/>
    <s v="Si"/>
    <m/>
    <x v="5"/>
    <m/>
    <s v="Enfermeria"/>
    <s v="Operaciones"/>
    <x v="6"/>
    <s v="ENFERMERO/A"/>
    <s v="Claudia Alí"/>
    <m/>
    <x v="2"/>
    <x v="7"/>
    <d v="2026-06-01T00:00:00"/>
    <s v="Baja"/>
    <s v="Media"/>
    <s v="Reemplazo"/>
    <m/>
    <s v="Adriana Abigail Tinte"/>
    <s v="Desvinculación empresa"/>
    <s v="Inderminado "/>
    <m/>
    <m/>
    <s v="L a V de 07hs a 15hs / S por medio de_x000a_07 a 15hs"/>
    <s v="CMV"/>
    <m/>
    <m/>
    <s v="Externa"/>
    <m/>
    <m/>
    <m/>
    <m/>
    <m/>
    <m/>
    <s v="Fin de Periodo de prueba"/>
  </r>
  <r>
    <s v="00254"/>
    <d v="2026-03-30T00:00:00"/>
    <n v="29"/>
    <s v="Ema"/>
    <s v="Aprobada"/>
    <m/>
    <s v="Si"/>
    <s v="Si"/>
    <m/>
    <x v="5"/>
    <m/>
    <s v="Enfermeria"/>
    <s v="Operaciones"/>
    <x v="6"/>
    <s v="ENFERMERO/A"/>
    <s v="Claudia Alí"/>
    <m/>
    <x v="2"/>
    <x v="7"/>
    <d v="2026-06-01T00:00:00"/>
    <s v="Baja"/>
    <s v="Media"/>
    <s v="Reemplazo"/>
    <m/>
    <s v="Rosa Soledad Mamani"/>
    <s v="Desvinculación empresa"/>
    <s v="Inderminado "/>
    <m/>
    <m/>
    <s v="L a V de 13hs a 21hs / S por medio de 07 a 15hs"/>
    <s v="CMV"/>
    <m/>
    <m/>
    <s v="Externa"/>
    <m/>
    <m/>
    <m/>
    <m/>
    <m/>
    <m/>
    <s v="Fin de Periodo de prueba"/>
  </r>
  <r>
    <s v="00255"/>
    <d v="2026-03-30T00:00:00"/>
    <s v="Cerrada"/>
    <s v="Franco"/>
    <s v="Aprobada"/>
    <m/>
    <s v="No"/>
    <m/>
    <m/>
    <x v="5"/>
    <m/>
    <s v="Operaciones"/>
    <s v="Operaciones"/>
    <x v="4"/>
    <s v="OFICIAL DE MANTENIMIENTO"/>
    <s v="Federico Carrasquera"/>
    <m/>
    <x v="0"/>
    <x v="0"/>
    <m/>
    <s v="Baja"/>
    <s v="Alta "/>
    <s v="Reemplazo"/>
    <m/>
    <s v="Ignacio Rupcich"/>
    <s v="Renuncia "/>
    <s v="Indeterminado "/>
    <m/>
    <m/>
    <s v="L a V de 08hs a 16hs / S de 08 a 13hs"/>
    <s v="CMV"/>
    <d v="2026-04-21T00:00:00"/>
    <d v="2026-04-23T00:00:00"/>
    <s v="Externa"/>
    <m/>
    <s v="Daniel Belmontes"/>
    <s v="$1.581.099,38 bruto /  $1.290.884,50 neto"/>
    <s v="130/75"/>
    <s v="No"/>
    <s v="No"/>
    <m/>
  </r>
  <r>
    <s v="00256"/>
    <d v="2026-03-31T00:00:00"/>
    <n v="28"/>
    <s v="Franco"/>
    <s v="Aprobada"/>
    <m/>
    <m/>
    <m/>
    <m/>
    <x v="3"/>
    <s v="Desarrollos en salud"/>
    <s v="Obras"/>
    <s v="Servicios de Apoyo"/>
    <x v="10"/>
    <s v="Albañil"/>
    <s v="Tejedor"/>
    <m/>
    <x v="2"/>
    <x v="7"/>
    <d v="2026-05-11T00:00:00"/>
    <s v="Baja"/>
    <s v="Alta "/>
    <s v="Reemplazo"/>
    <n v="169386"/>
    <s v="Cristian Aguilar"/>
    <s v="Desvinculación empresa"/>
    <s v="Inderminado "/>
    <m/>
    <m/>
    <s v="Lunes a viernes de 8 a 17hs"/>
    <s v="SANATORIO"/>
    <m/>
    <m/>
    <s v="Externa"/>
    <m/>
    <m/>
    <s v="$1.190.191,57 bruto / $996.957,00 neto"/>
    <s v="122/75"/>
    <s v="No"/>
    <s v="No"/>
    <s v="Contabamos con un candidato para ingresar el dia 20/4/26 (Diego Veron) pero dejo de responder a la cita"/>
  </r>
  <r>
    <s v="00257"/>
    <d v="2026-04-01T00:00:00"/>
    <n v="27"/>
    <s v="Juanpi"/>
    <s v="Aprobada"/>
    <m/>
    <s v="No"/>
    <m/>
    <m/>
    <x v="0"/>
    <m/>
    <s v="Business Inteligence"/>
    <s v="Administración"/>
    <x v="11"/>
    <s v="Analista Business Analytics"/>
    <s v="Ignacio Jaregui"/>
    <m/>
    <x v="2"/>
    <x v="2"/>
    <d v="2026-06-15T00:00:00"/>
    <s v="Alta "/>
    <s v="Media"/>
    <s v="Reemplazo"/>
    <m/>
    <m/>
    <s v="Desvinculación empresa"/>
    <s v="Inderminado "/>
    <m/>
    <m/>
    <m/>
    <m/>
    <m/>
    <m/>
    <m/>
    <m/>
    <m/>
    <m/>
    <m/>
    <m/>
    <m/>
    <m/>
  </r>
  <r>
    <s v="00258"/>
    <d v="2026-04-01T00:00:00"/>
    <s v="Cerrada"/>
    <s v="Franco"/>
    <s v="Aprobada"/>
    <m/>
    <m/>
    <m/>
    <m/>
    <x v="3"/>
    <m/>
    <s v="ADMISION"/>
    <s v="Consultorios Externos"/>
    <x v="3"/>
    <s v="Administrativo/a de Consultoríos Externos"/>
    <s v="Gomez"/>
    <m/>
    <x v="0"/>
    <x v="0"/>
    <d v="2026-04-21T00:00:00"/>
    <m/>
    <m/>
    <s v="Reemplazo"/>
    <m/>
    <s v="Aldana Mareco"/>
    <s v="Renuncia "/>
    <s v="Indeterminado "/>
    <m/>
    <m/>
    <s v="Lunes a Viernes 14 a 20 hs. Sábado por medio 7 a 13 hs."/>
    <s v="SANATORIO"/>
    <d v="2026-04-17T00:00:00"/>
    <d v="2026-04-21T00:00:00"/>
    <m/>
    <m/>
    <s v="Maria Ines Aquino"/>
    <s v="$896.354,91 bruto /  $743.214,00 neto"/>
    <s v="122/75"/>
    <s v="No"/>
    <s v="No"/>
    <m/>
  </r>
  <r>
    <s v="00259"/>
    <d v="2026-04-01T00:00:00"/>
    <s v="Cerrada"/>
    <s v="Franco"/>
    <s v="Aprobada"/>
    <m/>
    <m/>
    <m/>
    <m/>
    <x v="3"/>
    <m/>
    <s v="ADMISION"/>
    <s v="Consultorios Externos"/>
    <x v="3"/>
    <s v="Administrativo/a de Consultoríos Externos"/>
    <s v="Gomez"/>
    <m/>
    <x v="4"/>
    <x v="5"/>
    <m/>
    <m/>
    <m/>
    <s v="Reemplazo"/>
    <m/>
    <s v="Victoria Sánchez Ochoa"/>
    <s v="Renuncia "/>
    <s v="Indeterminado "/>
    <m/>
    <m/>
    <m/>
    <m/>
    <m/>
    <m/>
    <m/>
    <m/>
    <m/>
    <m/>
    <m/>
    <m/>
    <m/>
    <m/>
  </r>
  <r>
    <s v="00260"/>
    <d v="2026-03-30T00:00:00"/>
    <n v="29"/>
    <s v="Ema"/>
    <s v="Aprobada"/>
    <m/>
    <s v="No"/>
    <s v="No"/>
    <m/>
    <x v="3"/>
    <m/>
    <s v="HOTELERIA"/>
    <s v="INTERNACION"/>
    <x v="4"/>
    <s v="MUCAMO/A"/>
    <s v="Valeria Dodero"/>
    <m/>
    <x v="3"/>
    <x v="4"/>
    <d v="2026-05-11T00:00:00"/>
    <s v="Baja"/>
    <s v="Alta "/>
    <s v="Reemplazo"/>
    <m/>
    <s v="Ivan Flores"/>
    <s v="Movimiento interno"/>
    <s v="Inderminado "/>
    <m/>
    <m/>
    <s v="TM - 6 A 14 HS"/>
    <s v="SANATORIO"/>
    <m/>
    <m/>
    <s v="Externa"/>
    <m/>
    <s v="KARINA LEDESMA"/>
    <m/>
    <m/>
    <m/>
    <m/>
    <s v="Pase a Enfermería"/>
  </r>
  <r>
    <s v="00261"/>
    <d v="2026-03-30T00:00:00"/>
    <s v="Cerrada"/>
    <s v="Ema"/>
    <s v="Aprobada"/>
    <m/>
    <s v="No"/>
    <s v="No"/>
    <m/>
    <x v="3"/>
    <m/>
    <s v="HOTELERIA"/>
    <s v="INTERNACION"/>
    <x v="4"/>
    <s v="MUCAMO/A"/>
    <s v="Valeria Dodero"/>
    <m/>
    <x v="0"/>
    <x v="0"/>
    <m/>
    <m/>
    <m/>
    <s v="Reemplazo"/>
    <m/>
    <s v="Leticia Díaz"/>
    <s v="Movimiento interno"/>
    <s v="Inderminado "/>
    <m/>
    <m/>
    <s v="TM - 6 A 14 HS"/>
    <s v="SANATORIO"/>
    <d v="2026-04-20T00:00:00"/>
    <d v="2026-04-20T00:00:00"/>
    <s v="Externa"/>
    <m/>
    <s v="LISSETT FUENTES"/>
    <s v="Eventual. Se efectiviza el puesto"/>
    <m/>
    <m/>
    <m/>
    <s v="Pase a Enfermería"/>
  </r>
  <r>
    <s v="00262"/>
    <d v="2026-03-30T00:00:00"/>
    <s v="Cerrada"/>
    <s v="Ema"/>
    <s v="Aprobada"/>
    <m/>
    <s v="No"/>
    <s v="No"/>
    <m/>
    <x v="3"/>
    <m/>
    <s v="HOTELERIA"/>
    <s v="INTERNACION"/>
    <x v="4"/>
    <s v="MUCAMO/A"/>
    <s v="Valeria Dodero"/>
    <m/>
    <x v="0"/>
    <x v="0"/>
    <m/>
    <m/>
    <m/>
    <s v="Reemplazo"/>
    <m/>
    <s v="Mayra Insaurralde"/>
    <s v="Renuncia "/>
    <s v="Inderminado "/>
    <m/>
    <m/>
    <s v="TM - 6 A 14 HS"/>
    <s v="SANATORIO"/>
    <d v="2026-04-20T00:00:00"/>
    <d v="2026-04-20T00:00:00"/>
    <s v="Externa"/>
    <m/>
    <s v="FANNY QUINTEROS"/>
    <s v="Eventual. Se efectiviza el puesto"/>
    <s v="122/75"/>
    <m/>
    <m/>
    <s v="Renuncia 06/03"/>
  </r>
  <r>
    <s v="00263"/>
    <d v="2026-03-30T00:00:00"/>
    <s v="Cerrada"/>
    <s v="Ema"/>
    <s v="Cancelada"/>
    <m/>
    <s v="No"/>
    <s v="No"/>
    <m/>
    <x v="3"/>
    <m/>
    <s v="HOTELERIA"/>
    <s v="INTERNACION"/>
    <x v="4"/>
    <s v="MUCAMO/A"/>
    <s v="Valeria Dodero"/>
    <m/>
    <x v="1"/>
    <x v="1"/>
    <m/>
    <m/>
    <m/>
    <s v="Reemplazo"/>
    <m/>
    <s v="Wilma Rojas"/>
    <s v="Renuncia "/>
    <s v="Eventual "/>
    <m/>
    <m/>
    <s v="Vacaciones TM"/>
    <s v="SANATORIO"/>
    <m/>
    <m/>
    <s v="Externa"/>
    <m/>
    <m/>
    <m/>
    <m/>
    <m/>
    <m/>
    <s v="Renuncia 18/03 "/>
  </r>
  <r>
    <s v="00264"/>
    <d v="2026-03-30T00:00:00"/>
    <n v="29"/>
    <s v="Ema"/>
    <s v="Aprobada"/>
    <m/>
    <s v="No"/>
    <s v="No"/>
    <m/>
    <x v="3"/>
    <m/>
    <s v="KINESIOLOGIA"/>
    <s v="Terapia Intensiva"/>
    <x v="5"/>
    <s v="KINESIOLOGO/A"/>
    <s v="Laredo Rodrigo"/>
    <m/>
    <x v="2"/>
    <x v="10"/>
    <d v="2026-06-01T00:00:00"/>
    <s v="Baja"/>
    <s v="Media"/>
    <s v="Reemplazo"/>
    <m/>
    <s v="Camio Micaela"/>
    <s v="Licencia "/>
    <s v="Eventual "/>
    <m/>
    <m/>
    <s v="14 a 20 / s/d 8 a 20"/>
    <s v="SANATORIO"/>
    <m/>
    <m/>
    <s v="Externa"/>
    <m/>
    <m/>
    <m/>
    <m/>
    <m/>
    <m/>
    <m/>
  </r>
  <r>
    <s v="00265"/>
    <d v="2026-04-01T00:00:00"/>
    <n v="27"/>
    <s v="Ema"/>
    <s v="Aprobada"/>
    <m/>
    <s v="No"/>
    <s v="No"/>
    <m/>
    <x v="3"/>
    <m/>
    <s v="CLINICA MEDICA"/>
    <s v="INTERNACION"/>
    <x v="1"/>
    <s v="COORDINADOR/A"/>
    <s v="Barone"/>
    <m/>
    <x v="2"/>
    <x v="11"/>
    <d v="2026-05-18T00:00:00"/>
    <s v="Media "/>
    <s v="Alta "/>
    <s v="Reemplazo"/>
    <m/>
    <s v="Lima Pedro"/>
    <s v="Renuncia "/>
    <s v="Inderminado "/>
    <m/>
    <m/>
    <m/>
    <m/>
    <m/>
    <m/>
    <m/>
    <m/>
    <m/>
    <m/>
    <m/>
    <m/>
    <m/>
    <m/>
  </r>
  <r>
    <s v="00266"/>
    <d v="2026-04-01T00:00:00"/>
    <n v="27"/>
    <s v="Ema"/>
    <s v="Aprobada"/>
    <m/>
    <s v="No"/>
    <s v="No"/>
    <m/>
    <x v="3"/>
    <m/>
    <s v="LABORATORIO"/>
    <s v="INTERNACION"/>
    <x v="5"/>
    <s v="TECNICO/A"/>
    <s v="Scarcelli"/>
    <m/>
    <x v="3"/>
    <x v="6"/>
    <d v="2026-05-01T00:00:00"/>
    <s v="Media "/>
    <s v="Alta "/>
    <s v="Reemplazo"/>
    <m/>
    <s v="Violeta Chinski"/>
    <s v="Renuncia "/>
    <s v="Inderminado "/>
    <m/>
    <m/>
    <s v="Lunes a Sábados 14 a 22 hs"/>
    <s v="SANATORIO"/>
    <d v="2026-04-21T00:00:00"/>
    <d v="2026-05-04T00:00:00"/>
    <s v="Externa"/>
    <m/>
    <s v="MAIA ZANE"/>
    <s v=" $1.615.215,71 bruto /_x0009_ $1.098.029,50 neto"/>
    <s v="122/75"/>
    <s v="No"/>
    <s v="No"/>
    <m/>
  </r>
  <r>
    <s v="00267"/>
    <d v="2026-04-01T00:00:00"/>
    <n v="27"/>
    <s v="Ema"/>
    <s v="Aprobada"/>
    <m/>
    <s v="No"/>
    <s v="No"/>
    <m/>
    <x v="3"/>
    <s v="CIRENDSA"/>
    <s v="Enfermeria"/>
    <s v="Área Cerrada"/>
    <x v="6"/>
    <s v="Enfermero/a de área cerrada (UCO/UTI)"/>
    <s v="Noelia Alvez"/>
    <m/>
    <x v="2"/>
    <x v="7"/>
    <d v="2026-05-18T00:00:00"/>
    <s v="Baja"/>
    <s v="Alta "/>
    <s v="Reemplazo"/>
    <m/>
    <s v="Sandra Davila"/>
    <s v="Renuncia "/>
    <s v="Inderminado "/>
    <m/>
    <m/>
    <s v="6 a 14 hs"/>
    <s v="SANATORIO"/>
    <m/>
    <m/>
    <s v="Externa"/>
    <m/>
    <m/>
    <m/>
    <m/>
    <m/>
    <m/>
    <m/>
  </r>
  <r>
    <s v="00268"/>
    <d v="2026-04-13T00:00:00"/>
    <n v="15"/>
    <s v="Jose"/>
    <s v="Aprobada"/>
    <m/>
    <s v="No"/>
    <m/>
    <m/>
    <x v="5"/>
    <m/>
    <s v="Atención al Paciente"/>
    <s v="Operaciones"/>
    <x v="3"/>
    <s v="FACTURISTA"/>
    <s v="Valeria Rios"/>
    <m/>
    <x v="2"/>
    <x v="2"/>
    <d v="2026-06-01T00:00:00"/>
    <s v="Baja"/>
    <s v="Baja "/>
    <s v="Reemplazo"/>
    <n v="11"/>
    <s v="NEGRI, ELENA GLADYS"/>
    <s v="Jubilación"/>
    <s v="Inderminado "/>
    <m/>
    <m/>
    <s v="9 a 18 hs lunes a Viernes"/>
    <s v="Sede Amenabar"/>
    <m/>
    <m/>
    <s v="Externa"/>
    <m/>
    <m/>
    <m/>
    <m/>
    <m/>
    <m/>
    <m/>
  </r>
  <r>
    <s v="00269"/>
    <d v="2026-03-31T00:00:00"/>
    <s v="Cerrada"/>
    <s v="Juanpi"/>
    <s v="Aprobada"/>
    <m/>
    <s v="No"/>
    <m/>
    <m/>
    <x v="4"/>
    <s v="Cobensil SA"/>
    <s v="Pagos"/>
    <s v="ADMINISTRACION Y FINANZAS"/>
    <x v="3"/>
    <s v="ADMINISTRATIVO/A"/>
    <s v="Carla Fado"/>
    <m/>
    <x v="0"/>
    <x v="0"/>
    <m/>
    <m/>
    <m/>
    <s v="Reemplazo"/>
    <m/>
    <s v="Analia Olmeda"/>
    <s v="Renuncia "/>
    <s v="Inderminado "/>
    <m/>
    <m/>
    <s v="9 a 18 hs lunes a Viernes"/>
    <s v="La Musa"/>
    <d v="2026-04-07T00:00:00"/>
    <d v="2026-04-08T00:00:00"/>
    <s v="Interna"/>
    <s v="Búsqueda Interna"/>
    <s v="Tirado Laurente, Florencia "/>
    <m/>
    <m/>
    <m/>
    <m/>
    <m/>
  </r>
  <r>
    <s v="00270"/>
    <d v="2026-03-27T00:00:00"/>
    <s v="Cerrada"/>
    <s v="Ema"/>
    <s v="Aprobada"/>
    <m/>
    <s v="No"/>
    <s v="No"/>
    <m/>
    <x v="3"/>
    <m/>
    <s v="CLINICA MEDICA"/>
    <s v="INTERNACION"/>
    <x v="6"/>
    <s v="ENFERMERO/A"/>
    <s v="Alvez"/>
    <m/>
    <x v="0"/>
    <x v="0"/>
    <m/>
    <s v="Baja"/>
    <s v="Baja"/>
    <s v="Reemplazo"/>
    <n v="168864"/>
    <s v="_x0009_QUISPE JAUREGUI, LUIS"/>
    <s v="Renuncia "/>
    <s v="Indeterminado "/>
    <m/>
    <m/>
    <s v="14 a 22 hs"/>
    <s v="SANATORIO"/>
    <d v="2026-04-20T00:00:00"/>
    <d v="2026-04-20T00:00:00"/>
    <m/>
    <m/>
    <s v="ROCIO LANZALOT"/>
    <s v="Eventual. Se efectiviza el puesto"/>
    <s v="122/75"/>
    <m/>
    <m/>
    <m/>
  </r>
  <r>
    <s v="00271"/>
    <d v="2026-03-27T00:00:00"/>
    <n v="32"/>
    <s v="Franco"/>
    <s v="Aprobada"/>
    <m/>
    <s v="No"/>
    <m/>
    <m/>
    <x v="0"/>
    <m/>
    <s v="Ventas Retail"/>
    <s v="Comercial"/>
    <x v="0"/>
    <s v="VENDEDOR/A"/>
    <s v="Serafin"/>
    <m/>
    <x v="3"/>
    <x v="4"/>
    <d v="2026-05-11T00:00:00"/>
    <s v="Baja"/>
    <s v="Media"/>
    <s v="Reemplazo"/>
    <n v="170632"/>
    <s v="GUTCOVSKY, JULIETA"/>
    <s v="Renuncia "/>
    <s v="Inderminado "/>
    <m/>
    <m/>
    <m/>
    <m/>
    <m/>
    <m/>
    <m/>
    <m/>
    <m/>
    <m/>
    <m/>
    <m/>
    <m/>
    <m/>
  </r>
  <r>
    <s v="00272"/>
    <d v="2026-03-31T00:00:00"/>
    <n v="28"/>
    <s v="Franco"/>
    <s v="Aprobada"/>
    <m/>
    <s v="No"/>
    <m/>
    <m/>
    <x v="0"/>
    <m/>
    <s v="Ventas Retail"/>
    <s v="Comercial"/>
    <x v="0"/>
    <s v="VENDEDOR/A"/>
    <s v="Serafin"/>
    <m/>
    <x v="3"/>
    <x v="4"/>
    <d v="2026-05-11T00:00:00"/>
    <s v="Baja"/>
    <s v="Media"/>
    <s v="Reemplazo"/>
    <n v="1094"/>
    <s v="YAÑES BOGNI, MATIAS VALENTIN"/>
    <s v="Renuncia "/>
    <s v="Inderminado "/>
    <m/>
    <m/>
    <m/>
    <m/>
    <m/>
    <m/>
    <m/>
    <m/>
    <m/>
    <m/>
    <m/>
    <m/>
    <m/>
    <m/>
  </r>
  <r>
    <s v="00273"/>
    <d v="2026-03-16T00:00:00"/>
    <n v="43"/>
    <s v="Franco"/>
    <s v="Aprobada"/>
    <m/>
    <s v="No"/>
    <m/>
    <m/>
    <x v="0"/>
    <m/>
    <s v="Ventas Retail"/>
    <s v="Comercial"/>
    <x v="0"/>
    <s v="VENDEDOR/A"/>
    <s v="Serafin"/>
    <m/>
    <x v="2"/>
    <x v="10"/>
    <d v="2026-06-01T00:00:00"/>
    <s v="Baja"/>
    <s v="Media"/>
    <s v="Reemplazo"/>
    <n v="1093"/>
    <s v="MENESES MARIN, TANIUSKA ROGERLYS"/>
    <s v="Desvinculación empresa"/>
    <s v="Inderminado "/>
    <m/>
    <m/>
    <m/>
    <m/>
    <m/>
    <m/>
    <m/>
    <m/>
    <m/>
    <m/>
    <m/>
    <m/>
    <m/>
    <m/>
  </r>
  <r>
    <s v="00274"/>
    <d v="2026-03-16T00:00:00"/>
    <n v="43"/>
    <s v="Franco"/>
    <s v="Aprobada"/>
    <m/>
    <s v="No"/>
    <m/>
    <m/>
    <x v="0"/>
    <m/>
    <s v="Ventas Retail"/>
    <s v="Comercial"/>
    <x v="0"/>
    <s v="VENDEDOR/A"/>
    <s v="Serafin"/>
    <m/>
    <x v="2"/>
    <x v="10"/>
    <d v="2026-06-01T00:00:00"/>
    <s v="Baja"/>
    <s v="Media"/>
    <s v="Reemplazo"/>
    <n v="168680"/>
    <s v="CORREA, CAMILA MARIEL"/>
    <s v="Desvinculación empresa"/>
    <s v="Inderminado "/>
    <m/>
    <m/>
    <m/>
    <m/>
    <m/>
    <m/>
    <m/>
    <m/>
    <m/>
    <m/>
    <m/>
    <m/>
    <m/>
    <m/>
  </r>
  <r>
    <s v="00275"/>
    <d v="2026-03-16T00:00:00"/>
    <n v="43"/>
    <s v="Franco"/>
    <s v="Aprobada"/>
    <m/>
    <s v="No"/>
    <m/>
    <m/>
    <x v="0"/>
    <m/>
    <s v="Ventas Retail"/>
    <s v="Comercial"/>
    <x v="0"/>
    <s v="VENDEDOR/A"/>
    <s v="Serafin"/>
    <m/>
    <x v="2"/>
    <x v="10"/>
    <d v="2026-06-01T00:00:00"/>
    <s v="Baja"/>
    <s v="Media"/>
    <s v="Reemplazo"/>
    <n v="168697"/>
    <s v="PONCE, MATHEO NICOLAS"/>
    <s v="Desvinculación empresa"/>
    <s v="Inderminado "/>
    <m/>
    <m/>
    <m/>
    <m/>
    <m/>
    <m/>
    <m/>
    <m/>
    <m/>
    <m/>
    <m/>
    <m/>
    <m/>
    <m/>
  </r>
  <r>
    <s v="00276"/>
    <d v="2026-03-30T00:00:00"/>
    <s v="Cerrada"/>
    <s v="Ema"/>
    <s v="Aprobada"/>
    <m/>
    <s v="No"/>
    <s v="No"/>
    <m/>
    <x v="3"/>
    <m/>
    <s v="CLINICA MEDICA"/>
    <s v="INTERNACION"/>
    <x v="6"/>
    <s v="ENFERMERO/A"/>
    <s v="Noelia Alvez"/>
    <m/>
    <x v="0"/>
    <x v="0"/>
    <m/>
    <s v="Baja"/>
    <s v="Baja"/>
    <s v="Reemplazo"/>
    <n v="168840"/>
    <s v="MAMANI ALAN FRANCO"/>
    <s v="Renuncia "/>
    <s v="Indeterminado "/>
    <m/>
    <m/>
    <s v="14 a 22 hs"/>
    <s v="SANATORIO"/>
    <d v="2026-04-20T00:00:00"/>
    <d v="2026-04-20T00:00:00"/>
    <m/>
    <m/>
    <s v="BENJAMIN VALENCIA"/>
    <s v="Eventual. Se efectiviza el puesto"/>
    <s v="122/75"/>
    <m/>
    <m/>
    <m/>
  </r>
  <r>
    <s v="00277"/>
    <d v="2026-03-30T00:00:00"/>
    <n v="29"/>
    <s v="Ema"/>
    <s v="Aprobada"/>
    <m/>
    <s v="No"/>
    <s v="No"/>
    <m/>
    <x v="3"/>
    <m/>
    <s v="Enfermeria"/>
    <s v="Terapia Intensiva"/>
    <x v="6"/>
    <s v="Enfermero/a de Terapia Intensiva"/>
    <s v="Noelia Alvez"/>
    <m/>
    <x v="2"/>
    <x v="7"/>
    <d v="2026-05-18T00:00:00"/>
    <s v="Media "/>
    <s v="Baja"/>
    <s v="Reemplazo"/>
    <n v="169737"/>
    <s v="Fisderi Vasquez"/>
    <s v="Desvinculación empresa"/>
    <s v="Indeterminado "/>
    <m/>
    <m/>
    <s v="14 a 22 hs"/>
    <s v="SANATORIO"/>
    <m/>
    <m/>
    <m/>
    <m/>
    <m/>
    <m/>
    <s v="122/75"/>
    <m/>
    <m/>
    <m/>
  </r>
  <r>
    <s v="00278"/>
    <d v="2026-04-01T00:00:00"/>
    <n v="27"/>
    <s v="Ema"/>
    <s v="Aprobada"/>
    <m/>
    <s v="No"/>
    <s v="No"/>
    <m/>
    <x v="3"/>
    <m/>
    <s v="CLINICA MEDICA"/>
    <s v="INTERNACION"/>
    <x v="2"/>
    <s v="MEDICO/A"/>
    <s v="Barone"/>
    <m/>
    <x v="3"/>
    <x v="6"/>
    <d v="2026-05-03T00:00:00"/>
    <s v="Media "/>
    <s v="Baja "/>
    <s v="Reemplazo"/>
    <n v="155642"/>
    <s v="Riera Paredes Cristian"/>
    <s v="Renuncia "/>
    <s v="Inderminado "/>
    <m/>
    <m/>
    <s v="Domingos 8 a 20 hs"/>
    <s v="SANATORIO"/>
    <d v="2026-04-21T00:00:00"/>
    <d v="2026-05-03T00:00:00"/>
    <s v="Externa"/>
    <m/>
    <s v="PRISCILA SANCHEZ "/>
    <s v=" $1.288.893,47 bruto /_x0009_ $1.050.448,18 neto"/>
    <s v="AMAP"/>
    <m/>
    <m/>
    <m/>
  </r>
  <r>
    <s v="00279"/>
    <d v="2026-04-01T00:00:00"/>
    <s v="Cerrada"/>
    <s v="Ema"/>
    <s v="Aprobada"/>
    <m/>
    <s v="No"/>
    <s v="No"/>
    <m/>
    <x v="3"/>
    <m/>
    <s v="CLINICA MEDICA"/>
    <s v="INTERNACION"/>
    <x v="6"/>
    <s v="ENFERMERO/A"/>
    <s v="Noelia Alvez"/>
    <m/>
    <x v="0"/>
    <x v="0"/>
    <m/>
    <s v="Baja"/>
    <s v="Baja "/>
    <s v="Reemplazo"/>
    <n v="151367"/>
    <s v="ARANIBAR JULLY "/>
    <s v="Movimiento interno"/>
    <s v="Indeterminado "/>
    <m/>
    <m/>
    <s v="6 a 14 hs"/>
    <s v="SANATORIO"/>
    <d v="2026-04-20T00:00:00"/>
    <d v="2026-04-20T00:00:00"/>
    <m/>
    <m/>
    <s v="LUIS BARRIOS"/>
    <s v="Eventual. Se efectiviza el puesto"/>
    <s v="122/75"/>
    <m/>
    <m/>
    <m/>
  </r>
  <r>
    <s v="00280"/>
    <d v="2026-03-17T00:00:00"/>
    <s v="Cerrada"/>
    <s v="Ema"/>
    <s v="Aprobada"/>
    <m/>
    <s v="No"/>
    <s v="No"/>
    <m/>
    <x v="3"/>
    <m/>
    <s v="Enfermeria"/>
    <s v="INTERNACION"/>
    <x v="6"/>
    <s v="ENFERMERO/A"/>
    <s v="Noelia Alvez"/>
    <m/>
    <x v="0"/>
    <x v="0"/>
    <m/>
    <s v="Baja"/>
    <s v="Baja "/>
    <s v="Reemplazo"/>
    <m/>
    <s v=" CARRASCO ALAN AXEL GABRIEL"/>
    <s v="Renuncia "/>
    <s v="Indeterminado "/>
    <m/>
    <m/>
    <s v="14 A 22 HS"/>
    <s v="SANATORIO"/>
    <d v="2026-04-20T00:00:00"/>
    <d v="2026-04-20T00:00:00"/>
    <m/>
    <m/>
    <s v="ISABEL MAMANI"/>
    <s v="Eventual. Se efectiviza el puesto"/>
    <s v="122/75"/>
    <m/>
    <m/>
    <m/>
  </r>
  <r>
    <s v="00281"/>
    <d v="2026-04-07T00:00:00"/>
    <n v="21"/>
    <s v="Jose"/>
    <s v="Aprobada"/>
    <m/>
    <s v="No"/>
    <s v="No"/>
    <m/>
    <x v="3"/>
    <m/>
    <s v="BIOINGENIERIA"/>
    <s v="Bioingenieria"/>
    <x v="5"/>
    <s v="TECNICO/A"/>
    <s v="Javier Luder"/>
    <m/>
    <x v="3"/>
    <x v="4"/>
    <d v="2026-05-11T00:00:00"/>
    <s v="Media "/>
    <s v="Alta "/>
    <s v="Reemplazo"/>
    <m/>
    <s v="BORDON FRANCO"/>
    <s v="Renuncia "/>
    <s v="Inderminado "/>
    <m/>
    <m/>
    <m/>
    <m/>
    <m/>
    <m/>
    <m/>
    <m/>
    <m/>
    <m/>
    <s v="FUCO"/>
    <m/>
    <m/>
    <m/>
  </r>
  <r>
    <s v="00282"/>
    <d v="2026-04-07T00:00:00"/>
    <n v="21"/>
    <s v="Ema"/>
    <s v="Aprobada"/>
    <m/>
    <s v="No"/>
    <s v="No"/>
    <m/>
    <x v="3"/>
    <m/>
    <s v="Enfermeria"/>
    <s v="INTERNACION"/>
    <x v="6"/>
    <s v="ENFERMERO/A"/>
    <s v="Noelia Alvez"/>
    <m/>
    <x v="3"/>
    <x v="6"/>
    <d v="2026-05-04T00:00:00"/>
    <s v="Baja"/>
    <s v="Baja "/>
    <s v="Reemplazo"/>
    <m/>
    <s v="MAMANI MARIA ROSA"/>
    <s v="Renuncia "/>
    <s v="Inderminado "/>
    <m/>
    <m/>
    <s v="14 a 22 HS"/>
    <s v="SANATORIO"/>
    <d v="2026-04-21T00:00:00"/>
    <d v="2026-05-04T00:00:00"/>
    <s v="Externa"/>
    <m/>
    <s v="Evelyn Condori"/>
    <s v=" $1.303.213,92 bruto /_x0009_ $1.093.671,00 neto"/>
    <s v="122/75"/>
    <m/>
    <m/>
    <m/>
  </r>
  <r>
    <s v="00283"/>
    <d v="2026-04-13T00:00:00"/>
    <s v="Cerrada"/>
    <s v="Franco"/>
    <s v="Aprobada"/>
    <m/>
    <m/>
    <m/>
    <m/>
    <x v="4"/>
    <s v="Healthnes SA"/>
    <s v="CONTACT CENTER"/>
    <s v="Operaciones"/>
    <x v="3"/>
    <s v="Operador call center"/>
    <s v="Zukoski"/>
    <m/>
    <x v="0"/>
    <x v="0"/>
    <d v="2026-04-21T00:00:00"/>
    <s v="Baja"/>
    <s v="Alta "/>
    <s v="Reemplazo"/>
    <n v="160471"/>
    <s v="Florencia Tirado Laurente"/>
    <s v="Movimiento interno"/>
    <s v="Indeterminado "/>
    <m/>
    <m/>
    <s v="lunes a jueves de 8 a 18 y viernes de 10 a 18hs"/>
    <s v="CONTACT CENTER"/>
    <d v="2026-04-07T00:00:00"/>
    <d v="2026-04-20T00:00:00"/>
    <m/>
    <m/>
    <s v="Selene Acuña"/>
    <s v="$ 1.265.500 bruto / $ 1.032.000 neto "/>
    <s v="130/75"/>
    <m/>
    <m/>
    <m/>
  </r>
  <r>
    <s v="00284"/>
    <d v="2026-04-10T00:00:00"/>
    <n v="18"/>
    <s v="Franco"/>
    <s v="Aprobada"/>
    <m/>
    <m/>
    <m/>
    <m/>
    <x v="3"/>
    <s v="Desarrollos en salud"/>
    <s v="Obras"/>
    <s v="Servicios de Apoyo"/>
    <x v="10"/>
    <s v="Albañil"/>
    <s v="Tejedor"/>
    <m/>
    <x v="2"/>
    <x v="7"/>
    <d v="2026-05-11T00:00:00"/>
    <s v="Baja"/>
    <s v="Alta "/>
    <s v="Reemplazo"/>
    <m/>
    <s v="Para completar dotación"/>
    <s v="Renuncia "/>
    <s v="Inderminado "/>
    <m/>
    <m/>
    <s v="Lunes a viernes de 8 a 17hs"/>
    <s v="SANATORIO"/>
    <m/>
    <m/>
    <m/>
    <m/>
    <m/>
    <m/>
    <m/>
    <m/>
    <m/>
    <m/>
  </r>
  <r>
    <s v="00285"/>
    <d v="2026-04-13T00:00:00"/>
    <n v="15"/>
    <s v="Franco"/>
    <s v="Aprobada"/>
    <m/>
    <s v="Si"/>
    <s v="Si"/>
    <m/>
    <x v="0"/>
    <s v="Cobensil SA"/>
    <s v="VENTAS CORPORATIVAS"/>
    <s v="Comercial"/>
    <x v="0"/>
    <s v="VENDEDOR/A"/>
    <s v="Juan Francisco Mandingorra"/>
    <m/>
    <x v="2"/>
    <x v="2"/>
    <d v="2026-05-11T00:00:00"/>
    <s v="Media "/>
    <s v="Alta "/>
    <s v="Reemplazo"/>
    <n v="164312"/>
    <s v="MARIA LUJAN BARRIENTOS"/>
    <s v="Desvinculación empresa"/>
    <s v="Inderminado "/>
    <m/>
    <m/>
    <s v="10 a 18 hs"/>
    <s v="Perón 1479 CABA"/>
    <m/>
    <m/>
    <m/>
    <m/>
    <m/>
    <m/>
    <m/>
    <m/>
    <m/>
    <m/>
  </r>
  <r>
    <s v="00286"/>
    <d v="2026-04-13T00:00:00"/>
    <n v="15"/>
    <s v="Franco"/>
    <s v="Aprobada"/>
    <m/>
    <s v="Si"/>
    <s v="Si"/>
    <m/>
    <x v="0"/>
    <s v="Cobensil SA"/>
    <s v="VENTAS CORPORATIVAS"/>
    <s v="Comercial"/>
    <x v="0"/>
    <s v="VENDEDOR/A"/>
    <s v="Juan Francisco Mandingorra"/>
    <m/>
    <x v="2"/>
    <x v="2"/>
    <d v="2026-05-11T00:00:00"/>
    <s v="Media "/>
    <s v="Alta "/>
    <s v="Reemplazo"/>
    <n v="163654"/>
    <s v="KARINA SAYAL"/>
    <s v="Desvinculación empresa"/>
    <s v="Inderminado "/>
    <m/>
    <m/>
    <s v="10 a 18 hs"/>
    <s v="Perón 1479 CABA"/>
    <m/>
    <m/>
    <m/>
    <m/>
    <m/>
    <m/>
    <m/>
    <m/>
    <m/>
    <m/>
  </r>
  <r>
    <s v="00287"/>
    <d v="2026-04-06T00:00:00"/>
    <n v="22"/>
    <s v="Franco"/>
    <s v="Aprobada"/>
    <m/>
    <s v="No"/>
    <s v="No"/>
    <m/>
    <x v="0"/>
    <m/>
    <s v="Ventas Retail"/>
    <s v="Comercial"/>
    <x v="0"/>
    <s v="VENDEDOR/A"/>
    <s v="Serafin"/>
    <m/>
    <x v="2"/>
    <x v="10"/>
    <d v="2026-06-01T00:00:00"/>
    <s v="Baja"/>
    <s v="Media"/>
    <s v="Reemplazo"/>
    <n v="1095"/>
    <s v="CARVAJAL PERALTA, PERLA LILIBETH"/>
    <s v="Renuncia "/>
    <s v="Inderminado "/>
    <m/>
    <m/>
    <m/>
    <m/>
    <m/>
    <m/>
    <m/>
    <m/>
    <m/>
    <m/>
    <m/>
    <m/>
    <m/>
    <m/>
  </r>
  <r>
    <s v="00288"/>
    <d v="2026-04-10T00:00:00"/>
    <n v="18"/>
    <s v="Franco"/>
    <s v="Aprobada"/>
    <m/>
    <s v="No"/>
    <s v="No"/>
    <m/>
    <x v="0"/>
    <m/>
    <s v="Ventas Retail"/>
    <s v="Comercial"/>
    <x v="0"/>
    <s v="VENDEDOR/A"/>
    <s v="Serafin"/>
    <m/>
    <x v="2"/>
    <x v="10"/>
    <d v="2026-06-01T00:00:00"/>
    <s v="Baja"/>
    <s v="Media"/>
    <s v="Reemplazo"/>
    <n v="1097"/>
    <s v="ARROYO, ALEJANDRO LEONARDO"/>
    <s v="Renuncia "/>
    <s v="Inderminado "/>
    <m/>
    <m/>
    <m/>
    <m/>
    <m/>
    <m/>
    <m/>
    <m/>
    <m/>
    <m/>
    <m/>
    <m/>
    <m/>
    <m/>
  </r>
  <r>
    <s v="00289"/>
    <d v="2026-04-08T00:00:00"/>
    <n v="20"/>
    <s v="Franco"/>
    <s v="Aprobada"/>
    <m/>
    <s v="No"/>
    <s v="No"/>
    <m/>
    <x v="0"/>
    <m/>
    <s v="Ventas Retail"/>
    <s v="Comercial"/>
    <x v="0"/>
    <s v="VENDEDOR/A"/>
    <s v="Serafin"/>
    <m/>
    <x v="2"/>
    <x v="10"/>
    <d v="2026-06-01T00:00:00"/>
    <s v="Baja"/>
    <s v="Media"/>
    <s v="Reemplazo"/>
    <n v="170021"/>
    <s v="BANEGAS NEMBHARD, MARYANA ALEXANDRA"/>
    <s v="Renuncia "/>
    <s v="Inderminado "/>
    <m/>
    <m/>
    <m/>
    <m/>
    <m/>
    <m/>
    <m/>
    <m/>
    <m/>
    <m/>
    <m/>
    <m/>
    <m/>
    <m/>
  </r>
  <r>
    <s v="00290"/>
    <d v="2026-04-14T00:00:00"/>
    <n v="14"/>
    <s v="Jose"/>
    <s v="Aprobada"/>
    <m/>
    <s v="No"/>
    <s v="No"/>
    <m/>
    <x v="3"/>
    <m/>
    <s v="SOPORTE TECNICO"/>
    <s v="ADMINISTRACION Y FINANZAS"/>
    <x v="11"/>
    <s v="COORDINADOR/A"/>
    <s v="Sebastian Gatica"/>
    <m/>
    <x v="2"/>
    <x v="2"/>
    <d v="2026-06-15T00:00:00"/>
    <s v="Media "/>
    <s v="Media"/>
    <s v="Reemplazo"/>
    <n v="155031"/>
    <s v="PAUL ALEXANDER MOSS"/>
    <s v="Renuncia "/>
    <s v="Inderminado "/>
    <m/>
    <m/>
    <s v="Luneas a Viernes de 8 a 17 hs"/>
    <m/>
    <m/>
    <m/>
    <m/>
    <m/>
    <m/>
    <m/>
    <m/>
    <m/>
    <m/>
    <m/>
  </r>
  <r>
    <s v="00291"/>
    <d v="2026-04-14T00:00:00"/>
    <n v="14"/>
    <s v="Ema"/>
    <s v="Aprobada"/>
    <m/>
    <s v="No"/>
    <s v="No"/>
    <m/>
    <x v="5"/>
    <m/>
    <s v="FARMACIA"/>
    <m/>
    <x v="5"/>
    <s v="DIRECTOR/A TECNICO/A DE FARMACIA"/>
    <s v="Claudia Alí"/>
    <m/>
    <x v="2"/>
    <x v="12"/>
    <d v="2026-05-18T00:00:00"/>
    <s v="Media "/>
    <s v="Alta "/>
    <s v="Apertura de puesto"/>
    <m/>
    <m/>
    <s v="Nuevo proyecto "/>
    <s v="Indeterminado "/>
    <m/>
    <m/>
    <m/>
    <s v="CMV"/>
    <m/>
    <m/>
    <m/>
    <m/>
    <m/>
    <m/>
    <m/>
    <m/>
    <m/>
    <m/>
  </r>
  <r>
    <s v="00292"/>
    <d v="2026-04-14T00:00:00"/>
    <n v="14"/>
    <s v="Juanpi"/>
    <s v="Aprobada"/>
    <m/>
    <s v="Si"/>
    <s v="Si"/>
    <m/>
    <x v="7"/>
    <s v="Farmacia Nobel SA"/>
    <s v="ADMINISTRACION"/>
    <s v="ADMINISTRACION Y FINANZAS"/>
    <x v="3"/>
    <s v="ADMINISTRATIVO/A"/>
    <s v="Emilio Zalis"/>
    <m/>
    <x v="2"/>
    <x v="10"/>
    <d v="2026-05-18T00:00:00"/>
    <s v="Media "/>
    <s v="Alta "/>
    <s v="Reemplazo"/>
    <m/>
    <s v="Confidencial"/>
    <s v="Desvinculación empresa"/>
    <s v="Indeterminado "/>
    <m/>
    <m/>
    <s v="Lunes a Viernes de 9 a 18 hs "/>
    <m/>
    <m/>
    <m/>
    <m/>
    <m/>
    <m/>
    <m/>
    <m/>
    <m/>
    <m/>
    <m/>
  </r>
  <r>
    <s v="00293"/>
    <d v="2026-04-17T00:00:00"/>
    <n v="11"/>
    <s v="Ema"/>
    <s v="Aprobada"/>
    <m/>
    <s v="No"/>
    <s v="Si"/>
    <d v="2026-05-18T00:00:00"/>
    <x v="3"/>
    <m/>
    <s v="TERAPISTAS INTENSIVOS"/>
    <s v="Terapia Intensiva"/>
    <x v="2"/>
    <s v="MEDICO/A"/>
    <s v="Salcedo"/>
    <m/>
    <x v="3"/>
    <x v="6"/>
    <d v="2026-05-04T00:00:00"/>
    <s v="Media "/>
    <s v="Media"/>
    <s v="Reemplazo"/>
    <n v="164831"/>
    <s v="PADILLA GUILLOTH, MARIA JOSE"/>
    <s v="Renuncia "/>
    <s v="Indeterminado "/>
    <m/>
    <m/>
    <s v="LUNES 8 A 8 HS"/>
    <s v="SANATORIO"/>
    <d v="2026-04-15T00:00:00"/>
    <d v="2026-05-04T00:00:00"/>
    <m/>
    <m/>
    <s v="Agustin Aller"/>
    <s v=" $ 2.555.900 bruto / $ 2.083.000 neto"/>
    <s v="AMAP"/>
    <s v="No"/>
    <s v="No"/>
    <m/>
  </r>
  <r>
    <s v="00294"/>
    <d v="2026-04-17T00:00:00"/>
    <n v="11"/>
    <s v="Ema"/>
    <s v="Aprobada"/>
    <m/>
    <s v="No"/>
    <s v="No"/>
    <m/>
    <x v="3"/>
    <s v="CIRENDSA"/>
    <s v="Enfermeria"/>
    <s v="INTERNACION"/>
    <x v="6"/>
    <s v="ENFERMERO/A"/>
    <s v="Noelia Alvez"/>
    <m/>
    <x v="3"/>
    <x v="6"/>
    <d v="2026-05-04T00:00:00"/>
    <s v="Baja"/>
    <s v="Baja"/>
    <s v="Reemplazo"/>
    <n v="170953"/>
    <s v="AYALA, VIRGINIA ISABEL"/>
    <s v="Renuncia "/>
    <s v="Indeterminado "/>
    <m/>
    <m/>
    <s v="14 a 22 HS"/>
    <s v="SANATORIO"/>
    <d v="2026-04-27T00:00:00"/>
    <d v="2026-05-04T00:00:00"/>
    <s v="Interna"/>
    <m/>
    <s v="VERONICA BALERIO CALDERON"/>
    <s v="Pase interno TM"/>
    <s v="122/75"/>
    <m/>
    <m/>
    <m/>
  </r>
  <r>
    <s v="00295"/>
    <d v="2026-04-17T00:00:00"/>
    <n v="11"/>
    <s v="Ema"/>
    <s v="Aprobada"/>
    <m/>
    <s v="No"/>
    <s v="Si"/>
    <d v="2026-04-19T00:00:00"/>
    <x v="3"/>
    <s v="CIRENDSA"/>
    <s v="Enfermeria"/>
    <s v="Terapia Intensiva"/>
    <x v="6"/>
    <s v="Enfermero/a de Terapia Intensiva"/>
    <s v="Alvez"/>
    <m/>
    <x v="2"/>
    <x v="10"/>
    <d v="2026-06-01T00:00:00"/>
    <s v="Media "/>
    <s v="Media"/>
    <s v="Reemplazo"/>
    <n v="136346"/>
    <s v="ZAMUDIO VEDIA, MIGUEL OSVALDO"/>
    <s v="Renuncia "/>
    <s v="Indeterminado "/>
    <m/>
    <m/>
    <s v="14 a 22 HS"/>
    <s v="SANATORIO"/>
    <m/>
    <m/>
    <m/>
    <m/>
    <m/>
    <m/>
    <s v="122/75"/>
    <m/>
    <m/>
    <m/>
  </r>
  <r>
    <s v="00296"/>
    <d v="2026-04-16T00:00:00"/>
    <s v="Cerrada"/>
    <s v="Ema"/>
    <s v="Aprobada"/>
    <m/>
    <s v="No"/>
    <s v="No"/>
    <m/>
    <x v="3"/>
    <m/>
    <s v="Enfermeria"/>
    <s v="INTERNACION"/>
    <x v="6"/>
    <s v="ENFERMERO/A"/>
    <s v="Alvez"/>
    <m/>
    <x v="0"/>
    <x v="0"/>
    <m/>
    <s v="Baja"/>
    <s v="Baja"/>
    <s v="Reemplazo"/>
    <n v="148961"/>
    <s v="CARLA PLACEREANO"/>
    <s v="Renuncia "/>
    <s v="Indeterminado "/>
    <m/>
    <m/>
    <s v="6 a 14 hs"/>
    <s v="SANATORIO"/>
    <d v="2026-04-27T00:00:00"/>
    <d v="2026-04-27T00:00:00"/>
    <m/>
    <m/>
    <s v="Cinthia Lopez"/>
    <s v="Eventual. Se efectiviza el puesto"/>
    <s v="122/75"/>
    <m/>
    <m/>
    <m/>
  </r>
  <r>
    <s v="00297"/>
    <d v="2026-04-17T00:00:00"/>
    <n v="11"/>
    <s v="Ema"/>
    <s v="Aprobada"/>
    <m/>
    <m/>
    <m/>
    <m/>
    <x v="3"/>
    <s v="Laboratorio Internacional SA"/>
    <s v="LABORATORIO"/>
    <s v="Laboratorio"/>
    <x v="5"/>
    <s v="Tecnico/a de Laboratorio"/>
    <s v="Benitez Elias"/>
    <m/>
    <x v="2"/>
    <x v="10"/>
    <d v="2026-05-18T00:00:00"/>
    <s v="Media "/>
    <s v="Alta "/>
    <s v="Reemplazo"/>
    <n v="5"/>
    <s v="Passagio "/>
    <s v="Renuncia "/>
    <s v="Indeterminado "/>
    <m/>
    <m/>
    <s v="Turno mañana Lunes a viernes  6 - 14 hs - Guardia Domingo 14 a 22hs"/>
    <s v="SANATORIO"/>
    <m/>
    <m/>
    <m/>
    <m/>
    <m/>
    <m/>
    <n v="108"/>
    <m/>
    <m/>
    <m/>
  </r>
  <r>
    <s v="00298"/>
    <d v="2026-04-16T00:00:00"/>
    <n v="12"/>
    <s v="Franco"/>
    <s v="Aprobada"/>
    <m/>
    <s v="Si"/>
    <s v="Si"/>
    <m/>
    <x v="7"/>
    <s v="Farmacia Nobel SA"/>
    <s v="FARMACIA"/>
    <s v="FARMACIA LAMAITE"/>
    <x v="3"/>
    <s v="EMPLEADO/A DE MOSTRADOR"/>
    <s v="Sergio Bernigaud"/>
    <m/>
    <x v="2"/>
    <x v="11"/>
    <d v="2026-05-11T00:00:00"/>
    <s v="Baja"/>
    <s v="Alta "/>
    <s v="Reemplazo"/>
    <n v="148312"/>
    <s v="VESTILLEIRO, RUBEN ADRIAN"/>
    <s v="Futura desvinculación"/>
    <s v="Indeterminado "/>
    <s v="El puesto es critico para garantizar la dotación mínima_x000a_requerida en la farmacia. Actualmente, la operación de_x000a_los domingos depende de este rol. Su ausencia_x000a_desarticularía el esquema de atención al público,_x000a_comprometiendo la calidad del servicio._x000a_"/>
    <s v="Habría sobrecarga en el resto del personal, lo que_x000a_generaría riesgo de errores en la dispensación por_x000a_agotamiento físico y mental del equipo actual."/>
    <s v="Lunes a Viernes de 16 a 22hs y Domingos de 9 a 21hs"/>
    <s v="Conde 815"/>
    <m/>
    <m/>
    <m/>
    <m/>
    <m/>
    <m/>
    <n v="414"/>
    <m/>
    <m/>
    <m/>
  </r>
  <r>
    <s v="00299"/>
    <d v="2026-04-17T00:00:00"/>
    <n v="11"/>
    <s v="Jose"/>
    <s v="Aprobada"/>
    <s v="No"/>
    <s v="Si"/>
    <s v="Si"/>
    <m/>
    <x v="3"/>
    <s v="Desarrollos en Salud SA"/>
    <s v="Comercial"/>
    <s v="ADMINISTRACION Y FINANZAS"/>
    <x v="1"/>
    <s v="JEFE/A"/>
    <s v="Alejandro Poeta"/>
    <m/>
    <x v="2"/>
    <x v="11"/>
    <d v="2026-06-15T00:00:00"/>
    <s v="Media "/>
    <s v="Alta "/>
    <s v="Reemplazo"/>
    <m/>
    <m/>
    <s v="Futura desvinculación"/>
    <s v="Indeterminado "/>
    <m/>
    <m/>
    <m/>
    <m/>
    <m/>
    <m/>
    <m/>
    <m/>
    <m/>
    <m/>
    <s v="FUCO"/>
    <m/>
    <m/>
    <m/>
  </r>
  <r>
    <s v="00300"/>
    <d v="2026-04-17T00:00:00"/>
    <s v="Cerrada"/>
    <s v="Ema"/>
    <s v="Cancelada"/>
    <s v="No"/>
    <s v="Si"/>
    <s v="Si"/>
    <m/>
    <x v="5"/>
    <s v="Centrol Médico Vilella SA"/>
    <s v="BUSINESS MANAGER"/>
    <s v="Administracion"/>
    <x v="1"/>
    <s v="JEFE/A"/>
    <s v="Claudia Alí"/>
    <m/>
    <x v="4"/>
    <x v="5"/>
    <m/>
    <m/>
    <m/>
    <s v="Reemplazo"/>
    <m/>
    <m/>
    <s v="Futura desvinculación"/>
    <s v="Indeterminado "/>
    <m/>
    <m/>
    <m/>
    <m/>
    <m/>
    <m/>
    <m/>
    <m/>
    <m/>
    <m/>
    <s v="FUCO"/>
    <m/>
    <m/>
    <m/>
  </r>
  <r>
    <s v="00301"/>
    <d v="2026-04-17T00:00:00"/>
    <n v="11"/>
    <s v="Ema"/>
    <s v="Aprobada"/>
    <s v="No"/>
    <s v="No"/>
    <s v="No"/>
    <m/>
    <x v="3"/>
    <s v="Desarrollos en Salud SA"/>
    <s v="HOTELERIA"/>
    <s v="INTERNACION"/>
    <x v="4"/>
    <s v="MUCAMO/A"/>
    <s v="Dodero"/>
    <m/>
    <x v="2"/>
    <x v="2"/>
    <d v="2026-06-01T00:00:00"/>
    <s v="Baja"/>
    <s v="Baja "/>
    <s v="Reemplazo"/>
    <n v="110995"/>
    <s v="Acuña Gabriela"/>
    <s v="Licencia "/>
    <s v="Plazo Fijo"/>
    <s v="Licencia Psiq"/>
    <m/>
    <s v="14 a 22 hs"/>
    <s v="SANATORIO"/>
    <m/>
    <m/>
    <m/>
    <m/>
    <m/>
    <m/>
    <s v="122/75"/>
    <m/>
    <m/>
    <m/>
  </r>
  <r>
    <s v="00302"/>
    <d v="2026-04-10T00:00:00"/>
    <n v="18"/>
    <s v="Franco"/>
    <s v="Aprobada"/>
    <s v="No"/>
    <m/>
    <m/>
    <m/>
    <x v="9"/>
    <m/>
    <m/>
    <m/>
    <x v="4"/>
    <s v="OFICIAL DE MANTENIMIENTO"/>
    <s v="Jennifer Mijares"/>
    <m/>
    <x v="2"/>
    <x v="2"/>
    <d v="2026-05-11T00:00:00"/>
    <s v="Baja"/>
    <s v="Alta "/>
    <s v="Apertura de puesto"/>
    <m/>
    <m/>
    <s v="Crecimiento del área"/>
    <s v="Indeterminado "/>
    <s v="El ingreso de esta oficial resulta crítico para pasar de_x000a_gestionar la crisis a dar respuestas con eficiencia_x000a_operativa, ya que actualmente la dispersión geográfica_x000a_y la cantidad de activos (20 edificios para solo 3_x000a_oficiales) anulan la capacidad de realizar_x000a_mantenimiento preventivo real. Esta incorporación_x000a_ayudaría a reducir el agotamiento del personal y_x000a_representa un ahorro directo al reducir reparaciones de_x000a_emergencia costosas, proteger el valor de los_x000a_inmuebles y garantizar que la infraestructura no afecte_x000a_la productividad de los 660 colaboradores que allí_x000a_laboran._x000a_"/>
    <s v="El retardo o falta de ejecución de los trabajos de falta_x000a_de mantenimiento preventivo provocaría fallas_x000a_inevitables cuyo costo de reparación sería_x000a_significativamente alto. El impacto directo sería la_x000a_degradación de la infraestructura y el aumento de los_x000a_tiempos de inactividad de las sedes, lo que_x000a_compromete la seguridad y la productividad de los_x000a_colaboradores y de los médicos, pacientes y socios que_x000a_también acuden a las instalaciones, mientras que el_x000a_agotamiento del equipo actual podría generar una_x000a_rotación de personal por fatiga, dejando a los 20_x000a_edificios en un estado de vulnerabilidad en al área de_x000a_mantenimiento._x000a_"/>
    <s v="Martes a Viernes de 9:00 a 18:00 y Sábados de 8:00 a_x000a_14:00"/>
    <s v="Sede Amenabar 1074, trabajo rotativo diferentes Sedes_x000a_del Grupo_x000a_"/>
    <m/>
    <m/>
    <m/>
    <m/>
    <m/>
    <m/>
    <m/>
    <m/>
    <m/>
    <s v="La aprobación de esta vacante corresponde al cambio de rol de la vacante de Jefe de Mantenimiento la cual pasa a estado CANCELADO"/>
  </r>
  <r>
    <s v="00303"/>
    <d v="2026-04-20T00:00:00"/>
    <n v="8"/>
    <s v="Franco"/>
    <s v="Pendiente"/>
    <m/>
    <m/>
    <m/>
    <m/>
    <x v="3"/>
    <s v="Desarrollos en Salud SA"/>
    <s v="Comercial"/>
    <s v="Administración y Finanzas"/>
    <x v="3"/>
    <s v="Analista de convenios"/>
    <s v="Alejandro Poeta"/>
    <m/>
    <x v="2"/>
    <x v="11"/>
    <d v="2026-05-18T00:00:00"/>
    <s v="Media "/>
    <s v="Alta "/>
    <s v="Reemplazo"/>
    <s v="157266_x0009_"/>
    <s v="MILANESIO DE OLASO, MARIA PAULA"/>
    <s v="Renuncia "/>
    <s v="Indeterminado "/>
    <s v="El area de análisis de convenios da soporte a las_x000a_actividades comerciales de Sanatorio Colegiales y_x000a_Centres Ambulatorios. El sector estaba sobrecargado_x000a_de trabajo con una sola persona (María Paula), razón_x000a_por la cual avanzamos en la contratación de Pedro_x000a_Goicoechea, quien ingresó a la empresa hace dos_x000a_semanas."/>
    <s v="Voveremos a estar limitados en el nivel de respuesta,_x000a_como sucedía cuando María Paula estaba sola, con el_x000a_agravante de que Pedro no tiene todavía la experiencia_x000a_suficiente para poder dar el mismo desempeño que_x000a_Paula._x000a_"/>
    <s v="Lunes a Viernes 9 a 18 hs"/>
    <s v="La Musa"/>
    <m/>
    <m/>
    <m/>
    <m/>
    <m/>
    <m/>
    <m/>
    <m/>
    <m/>
    <m/>
  </r>
  <r>
    <s v="00304"/>
    <d v="2026-04-16T00:00:00"/>
    <n v="12"/>
    <s v="Ema"/>
    <s v="Aprobada"/>
    <m/>
    <s v="No"/>
    <s v="No"/>
    <m/>
    <x v="3"/>
    <s v="Desarrollos en Salud SA"/>
    <s v="TRAUMATOLOGIA"/>
    <s v="Guardia"/>
    <x v="2"/>
    <s v="MEDICO/A"/>
    <s v="FAIMAN"/>
    <m/>
    <x v="2"/>
    <x v="2"/>
    <d v="2026-05-18T00:00:00"/>
    <s v="Media "/>
    <s v="Media"/>
    <s v="Reemplazo"/>
    <n v="165704"/>
    <s v="ALBA MOLINA JUAN CARLOS"/>
    <s v="Renuncia "/>
    <s v="Indeterminado "/>
    <m/>
    <m/>
    <s v="LUNES 8 A 20 HS"/>
    <s v="SANATORIO"/>
    <m/>
    <m/>
    <m/>
    <m/>
    <m/>
    <m/>
    <s v="AMAP"/>
    <m/>
    <m/>
    <m/>
  </r>
  <r>
    <s v="00305"/>
    <d v="2026-04-16T00:00:00"/>
    <n v="12"/>
    <s v="Ema"/>
    <s v="Aprobada"/>
    <m/>
    <s v="No"/>
    <s v="No"/>
    <m/>
    <x v="3"/>
    <s v="Desarrollos en Salud SA"/>
    <s v="HOTELERIA"/>
    <s v="INTERNACION"/>
    <x v="4"/>
    <s v="MUCAMO/A"/>
    <s v="Dodero"/>
    <m/>
    <x v="3"/>
    <x v="4"/>
    <d v="2026-05-18T00:00:00"/>
    <s v="Baja"/>
    <s v="Alta "/>
    <s v="Reemplazo"/>
    <n v="147723"/>
    <s v="LEDESMA DANIELA"/>
    <s v="Renuncia "/>
    <s v="Indeterminado "/>
    <m/>
    <m/>
    <s v="14 A 22 HS"/>
    <s v="SANATORIO"/>
    <m/>
    <m/>
    <m/>
    <m/>
    <m/>
    <m/>
    <s v="122/75"/>
    <m/>
    <m/>
    <m/>
  </r>
  <r>
    <s v="00306"/>
    <d v="2026-04-15T00:00:00"/>
    <n v="13"/>
    <s v="Ema"/>
    <s v="Aprobada"/>
    <m/>
    <s v="No"/>
    <s v="No"/>
    <m/>
    <x v="3"/>
    <s v="Desarrollos en Salud SA"/>
    <s v="SERVICIO DE ALIMENTACION"/>
    <s v="Servicios de Apoyo"/>
    <x v="4"/>
    <s v="PEON"/>
    <s v="CORDOBA"/>
    <m/>
    <x v="2"/>
    <x v="2"/>
    <d v="2026-05-18T00:00:00"/>
    <s v="Baja"/>
    <s v="Media"/>
    <s v="Reemplazo"/>
    <n v="82424"/>
    <s v="CARDOZO OSCAR"/>
    <s v="Desvinculación empresa"/>
    <s v="Indeterminado "/>
    <m/>
    <m/>
    <m/>
    <s v="SANATORIO"/>
    <m/>
    <m/>
    <m/>
    <m/>
    <m/>
    <m/>
    <s v="122/75"/>
    <m/>
    <m/>
    <m/>
  </r>
  <r>
    <s v="00307"/>
    <d v="2026-04-01T00:00:00"/>
    <s v="Cerrada"/>
    <s v="Ema"/>
    <s v="Aprobada"/>
    <m/>
    <s v="No"/>
    <s v="Si"/>
    <d v="2026-05-04T00:00:00"/>
    <x v="3"/>
    <s v="Desarrollos en Salud SA"/>
    <s v="CIRUGIA"/>
    <s v="Quirofano"/>
    <x v="5"/>
    <s v="INSTRUMENTADOR/A"/>
    <s v="Di Franco"/>
    <m/>
    <x v="0"/>
    <x v="0"/>
    <d v="2026-04-27T00:00:00"/>
    <m/>
    <m/>
    <s v="Reemplazo"/>
    <n v="167656"/>
    <s v="SALAZAR PEREZ, ROSNELSI ELIANNY"/>
    <s v="Desvinculación empresa"/>
    <s v="Indeterminado "/>
    <m/>
    <m/>
    <s v="Lunes a Sábados 15 a 23 hs. Feriado rotativo"/>
    <s v="SANATORIO"/>
    <d v="2026-04-22T00:00:00"/>
    <m/>
    <m/>
    <m/>
    <s v="Dolores Vargas"/>
    <s v="Eventual. Se efectiviza el puesto"/>
    <s v="122/75"/>
    <m/>
    <m/>
    <m/>
  </r>
  <r>
    <s v="00308"/>
    <d v="2026-04-01T00:00:00"/>
    <s v="Cerrada"/>
    <s v="Ema"/>
    <s v="Aprobada"/>
    <m/>
    <s v="No"/>
    <s v="No"/>
    <m/>
    <x v="3"/>
    <s v="Desarrollos en Salud SA"/>
    <s v="HOTELERIA"/>
    <s v="INTERNACION"/>
    <x v="4"/>
    <s v="MUCAMO/A"/>
    <s v="Dodero"/>
    <m/>
    <x v="0"/>
    <x v="0"/>
    <d v="2026-04-27T00:00:00"/>
    <m/>
    <m/>
    <s v="Reemplazo"/>
    <n v="97871"/>
    <s v="PEÑA NOELIA (Delegada)"/>
    <s v="Licencia "/>
    <s v="Indeterminado "/>
    <m/>
    <m/>
    <s v="14 a 22 hs"/>
    <s v="SANATORIO"/>
    <d v="2026-04-27T00:00:00"/>
    <d v="2026-04-27T00:00:00"/>
    <m/>
    <m/>
    <s v="Romina Sarmiento"/>
    <s v="Eventual. Se efectiviza el puesto"/>
    <s v="122/75"/>
    <m/>
    <m/>
    <m/>
  </r>
  <r>
    <s v="00309"/>
    <d v="2026-04-20T00:00:00"/>
    <n v="8"/>
    <s v="Ema"/>
    <s v="Aprobada"/>
    <m/>
    <s v="No"/>
    <s v="No"/>
    <m/>
    <x v="3"/>
    <s v="Desarrollos en Salud SA"/>
    <s v="HOTELERIA"/>
    <s v="INTERNACION"/>
    <x v="4"/>
    <s v="MUCAMO/A"/>
    <s v="Dodero"/>
    <m/>
    <x v="2"/>
    <x v="2"/>
    <d v="2026-05-18T00:00:00"/>
    <s v="Baja"/>
    <s v="Media"/>
    <s v="Reemplazo"/>
    <n v="127973"/>
    <s v="BENITEZ, NOELIA NOEMI"/>
    <s v="Licencia "/>
    <s v="Plazo Fijo"/>
    <s v="Licencia Psiq"/>
    <m/>
    <s v="14 a 22 hs"/>
    <s v="SANATORIO"/>
    <m/>
    <m/>
    <m/>
    <m/>
    <m/>
    <m/>
    <m/>
    <m/>
    <m/>
    <m/>
  </r>
  <r>
    <s v="00310"/>
    <d v="2026-04-06T00:00:00"/>
    <n v="22"/>
    <s v="Ema"/>
    <s v="Aprobada"/>
    <m/>
    <s v="No"/>
    <s v="No"/>
    <m/>
    <x v="3"/>
    <s v="Desarrollos en Salud SA"/>
    <s v="Enfermeria"/>
    <s v="Terapia Intensiva"/>
    <x v="6"/>
    <s v="Enfermero/a de Terapia Intensiva"/>
    <s v="Alvez"/>
    <m/>
    <x v="2"/>
    <x v="2"/>
    <d v="2026-05-18T00:00:00"/>
    <s v="Baja"/>
    <s v="Media"/>
    <s v="Reemplazo"/>
    <n v="170762"/>
    <s v="ASTORGA DIAZ WENDY "/>
    <s v="Renuncia "/>
    <s v="Indeterminado "/>
    <m/>
    <m/>
    <s v="14 a 22 hs"/>
    <s v="SANATORIO"/>
    <m/>
    <m/>
    <m/>
    <m/>
    <m/>
    <m/>
    <m/>
    <m/>
    <m/>
    <m/>
  </r>
  <r>
    <s v="00311"/>
    <d v="2026-04-24T00:00:00"/>
    <n v="4"/>
    <s v="Ema"/>
    <s v="Aprobada"/>
    <m/>
    <s v="No"/>
    <s v="No"/>
    <m/>
    <x v="3"/>
    <s v="Desarrollos en Salud SA"/>
    <s v="HOTELERIA"/>
    <s v="INTERNACION"/>
    <x v="4"/>
    <s v="MUCAMO/A"/>
    <s v="Valeria Dodero"/>
    <m/>
    <x v="3"/>
    <x v="6"/>
    <d v="2026-05-04T00:00:00"/>
    <s v="Baja"/>
    <s v="Alta "/>
    <s v="Reemplazo"/>
    <n v="170281"/>
    <s v="Florencia de los Santos"/>
    <s v="Desvinculación empresa"/>
    <s v="Plazo Fijo"/>
    <s v="Licencia Psiq"/>
    <m/>
    <s v="14 a 22 hs por Licencia prolongada de 157990 Evelyn Haedo"/>
    <s v="SANATORIO"/>
    <d v="2026-04-20T00:00:00"/>
    <d v="2026-05-04T00:00:00"/>
    <m/>
    <m/>
    <s v="Sandra Murillo"/>
    <s v=" $1.123.895,63 bruto /_x0009_ $946.630,00 neto"/>
    <s v="122/75"/>
    <m/>
    <m/>
    <s v="14 a 22 hs por Licencia prolongada de 157990 Evelyn Haedo"/>
  </r>
  <r>
    <s v="00312"/>
    <d v="2026-03-30T00:00:00"/>
    <n v="29"/>
    <s v="Ema"/>
    <s v="Aprobada"/>
    <m/>
    <s v="No"/>
    <s v="No"/>
    <m/>
    <x v="3"/>
    <s v="Desarrollos en Salud SA"/>
    <s v="Enfermeria"/>
    <s v="INTERNACION"/>
    <x v="6"/>
    <s v="ENFERMERO/A"/>
    <s v="Alvez"/>
    <m/>
    <x v="2"/>
    <x v="2"/>
    <d v="2026-05-18T00:00:00"/>
    <s v="Baja"/>
    <s v="Media"/>
    <s v="Reemplazo"/>
    <n v="152605"/>
    <s v="ORTIZ MENDOZA, HAYLI"/>
    <s v="Renuncia "/>
    <s v="Indeterminado "/>
    <m/>
    <m/>
    <s v="14 a 22 hs"/>
    <s v="SANATORIO"/>
    <m/>
    <m/>
    <m/>
    <m/>
    <m/>
    <m/>
    <m/>
    <m/>
    <m/>
    <m/>
  </r>
  <r>
    <s v="00313"/>
    <d v="2026-02-18T00:00:00"/>
    <n v="69"/>
    <s v="Ema"/>
    <s v="Aprobada"/>
    <m/>
    <s v="No"/>
    <s v="No"/>
    <m/>
    <x v="3"/>
    <s v="Desarrollos en Salud SA"/>
    <s v="Enfermeria"/>
    <s v="Terapia Intensiva"/>
    <x v="6"/>
    <s v="Enfermero/a de Terapia Intensiva"/>
    <s v="Noelia Alvez"/>
    <m/>
    <x v="3"/>
    <x v="6"/>
    <d v="2026-05-04T00:00:00"/>
    <s v="Baja"/>
    <s v="Alta "/>
    <s v="Reemplazo"/>
    <n v="122145"/>
    <s v="PERALTA ANA MARIA"/>
    <s v="Renuncia "/>
    <s v="Indeterminado "/>
    <m/>
    <m/>
    <s v="14 a 22 hs"/>
    <s v="SANATORIO"/>
    <d v="2026-04-20T00:00:00"/>
    <d v="2026-05-04T00:00:00"/>
    <m/>
    <m/>
    <s v="Elizabeth Goffi"/>
    <s v=" $1.732.557,22 bruto /_x0009_ $1.445.732,50 neto"/>
    <s v="122/75"/>
    <m/>
    <m/>
    <m/>
  </r>
  <r>
    <s v="00314"/>
    <d v="2026-02-14T00:00:00"/>
    <n v="73"/>
    <s v="Ema"/>
    <s v="Aprobada"/>
    <m/>
    <s v="No"/>
    <s v="No"/>
    <m/>
    <x v="3"/>
    <s v="Desarrollos en Salud SA"/>
    <s v="Enfermeria"/>
    <s v="INTERNACION"/>
    <x v="6"/>
    <s v="ENFERMERO/A"/>
    <s v="Alvez"/>
    <m/>
    <x v="2"/>
    <x v="2"/>
    <d v="2026-05-18T00:00:00"/>
    <s v="Baja"/>
    <s v="Media"/>
    <s v="Reemplazo"/>
    <n v="165629"/>
    <s v="BLANCO NINA"/>
    <s v="Renuncia "/>
    <s v="Indeterminado "/>
    <m/>
    <m/>
    <s v="14 a 22 hs"/>
    <s v="SANATORIO"/>
    <m/>
    <m/>
    <m/>
    <m/>
    <m/>
    <m/>
    <s v="122/75"/>
    <m/>
    <m/>
    <m/>
  </r>
  <r>
    <s v="00315"/>
    <d v="2026-03-30T00:00:00"/>
    <n v="29"/>
    <s v="Ema"/>
    <s v="Aprobada"/>
    <m/>
    <s v="No"/>
    <s v="No"/>
    <m/>
    <x v="3"/>
    <s v="Desarrollos en Salud SA"/>
    <s v="Enfermeria"/>
    <s v="Terapia Intensiva"/>
    <x v="6"/>
    <s v="Enfermero/a de Terapia Intensiva"/>
    <s v="Alvez"/>
    <m/>
    <x v="2"/>
    <x v="2"/>
    <d v="2026-05-18T00:00:00"/>
    <s v="Baja"/>
    <s v="Media"/>
    <s v="Reemplazo"/>
    <n v="152254"/>
    <s v="Carolina Romay"/>
    <s v="Crecimiento del área"/>
    <s v="Indeterminado "/>
    <m/>
    <m/>
    <s v="6 a 14 hs"/>
    <s v="SANATORIO"/>
    <m/>
    <m/>
    <m/>
    <m/>
    <m/>
    <m/>
    <s v="122/75"/>
    <m/>
    <m/>
    <m/>
  </r>
  <r>
    <s v="00316"/>
    <d v="2026-04-27T00:00:00"/>
    <n v="1"/>
    <s v="Ema"/>
    <s v="Aprobada"/>
    <m/>
    <s v="No"/>
    <s v="No"/>
    <m/>
    <x v="3"/>
    <s v="Desarrollos en Salud SA"/>
    <s v="Enfermeria"/>
    <s v="INTERNACION"/>
    <x v="6"/>
    <s v="ENFERMERO/A"/>
    <s v="Alvez"/>
    <m/>
    <x v="2"/>
    <x v="2"/>
    <d v="2026-05-18T00:00:00"/>
    <s v="Baja"/>
    <s v="Media"/>
    <s v="Reemplazo"/>
    <n v="170946"/>
    <s v="Jessica Lopez"/>
    <s v="Renuncia "/>
    <s v="Indeterminado "/>
    <m/>
    <m/>
    <s v="6 a 14 hs"/>
    <s v="SANATORIO"/>
    <m/>
    <m/>
    <m/>
    <m/>
    <m/>
    <m/>
    <s v="122/75"/>
    <m/>
    <m/>
    <m/>
  </r>
  <r>
    <s v="00317"/>
    <m/>
    <s v=""/>
    <m/>
    <m/>
    <m/>
    <m/>
    <m/>
    <m/>
    <x v="10"/>
    <m/>
    <m/>
    <m/>
    <x v="12"/>
    <m/>
    <m/>
    <m/>
    <x v="5"/>
    <x v="8"/>
    <m/>
    <m/>
    <m/>
    <m/>
    <m/>
    <m/>
    <m/>
    <m/>
    <m/>
    <m/>
    <m/>
    <m/>
    <m/>
    <m/>
    <m/>
    <m/>
    <m/>
    <m/>
    <m/>
    <m/>
    <m/>
    <m/>
  </r>
  <r>
    <s v="00318"/>
    <m/>
    <s v=""/>
    <m/>
    <m/>
    <m/>
    <m/>
    <m/>
    <m/>
    <x v="10"/>
    <m/>
    <m/>
    <m/>
    <x v="12"/>
    <m/>
    <m/>
    <m/>
    <x v="5"/>
    <x v="8"/>
    <m/>
    <m/>
    <m/>
    <m/>
    <m/>
    <m/>
    <m/>
    <m/>
    <m/>
    <m/>
    <m/>
    <m/>
    <m/>
    <m/>
    <m/>
    <m/>
    <m/>
    <m/>
    <m/>
    <m/>
    <m/>
    <m/>
  </r>
  <r>
    <s v="00319"/>
    <m/>
    <s v=""/>
    <m/>
    <m/>
    <m/>
    <m/>
    <m/>
    <m/>
    <x v="10"/>
    <m/>
    <m/>
    <m/>
    <x v="12"/>
    <m/>
    <m/>
    <m/>
    <x v="5"/>
    <x v="8"/>
    <m/>
    <m/>
    <m/>
    <m/>
    <m/>
    <m/>
    <m/>
    <m/>
    <m/>
    <m/>
    <m/>
    <m/>
    <m/>
    <m/>
    <m/>
    <m/>
    <m/>
    <m/>
    <m/>
    <m/>
    <m/>
    <m/>
  </r>
  <r>
    <s v="00320"/>
    <m/>
    <s v=""/>
    <m/>
    <m/>
    <m/>
    <m/>
    <m/>
    <m/>
    <x v="10"/>
    <m/>
    <m/>
    <m/>
    <x v="12"/>
    <m/>
    <m/>
    <m/>
    <x v="5"/>
    <x v="8"/>
    <m/>
    <m/>
    <m/>
    <m/>
    <m/>
    <m/>
    <m/>
    <m/>
    <m/>
    <m/>
    <m/>
    <m/>
    <m/>
    <m/>
    <m/>
    <m/>
    <m/>
    <m/>
    <m/>
    <m/>
    <m/>
    <m/>
  </r>
  <r>
    <s v="00321"/>
    <m/>
    <s v=""/>
    <m/>
    <m/>
    <m/>
    <m/>
    <m/>
    <m/>
    <x v="10"/>
    <m/>
    <m/>
    <m/>
    <x v="12"/>
    <m/>
    <m/>
    <m/>
    <x v="5"/>
    <x v="8"/>
    <m/>
    <m/>
    <m/>
    <m/>
    <m/>
    <m/>
    <m/>
    <m/>
    <m/>
    <m/>
    <m/>
    <m/>
    <m/>
    <m/>
    <m/>
    <m/>
    <m/>
    <m/>
    <m/>
    <m/>
    <m/>
    <m/>
  </r>
  <r>
    <s v="00322"/>
    <m/>
    <s v=""/>
    <m/>
    <m/>
    <m/>
    <m/>
    <m/>
    <m/>
    <x v="10"/>
    <m/>
    <m/>
    <m/>
    <x v="12"/>
    <m/>
    <m/>
    <m/>
    <x v="5"/>
    <x v="8"/>
    <m/>
    <m/>
    <m/>
    <m/>
    <m/>
    <m/>
    <m/>
    <m/>
    <m/>
    <m/>
    <m/>
    <m/>
    <m/>
    <m/>
    <m/>
    <m/>
    <m/>
    <m/>
    <m/>
    <m/>
    <m/>
    <m/>
  </r>
  <r>
    <s v="00323"/>
    <m/>
    <s v=""/>
    <m/>
    <m/>
    <m/>
    <m/>
    <m/>
    <m/>
    <x v="10"/>
    <m/>
    <m/>
    <m/>
    <x v="12"/>
    <m/>
    <m/>
    <m/>
    <x v="5"/>
    <x v="8"/>
    <m/>
    <m/>
    <m/>
    <m/>
    <m/>
    <m/>
    <m/>
    <m/>
    <m/>
    <m/>
    <m/>
    <m/>
    <m/>
    <m/>
    <m/>
    <m/>
    <m/>
    <m/>
    <m/>
    <m/>
    <m/>
    <m/>
  </r>
  <r>
    <s v="00324"/>
    <m/>
    <s v=""/>
    <m/>
    <m/>
    <m/>
    <m/>
    <m/>
    <m/>
    <x v="10"/>
    <m/>
    <m/>
    <m/>
    <x v="12"/>
    <m/>
    <m/>
    <m/>
    <x v="5"/>
    <x v="8"/>
    <m/>
    <m/>
    <m/>
    <m/>
    <m/>
    <m/>
    <m/>
    <m/>
    <m/>
    <m/>
    <m/>
    <m/>
    <m/>
    <m/>
    <m/>
    <m/>
    <m/>
    <m/>
    <m/>
    <m/>
    <m/>
    <m/>
  </r>
  <r>
    <s v="00325"/>
    <m/>
    <s v=""/>
    <m/>
    <m/>
    <m/>
    <m/>
    <m/>
    <m/>
    <x v="10"/>
    <m/>
    <m/>
    <m/>
    <x v="12"/>
    <m/>
    <m/>
    <m/>
    <x v="5"/>
    <x v="8"/>
    <m/>
    <m/>
    <m/>
    <m/>
    <m/>
    <m/>
    <m/>
    <m/>
    <m/>
    <m/>
    <m/>
    <m/>
    <m/>
    <m/>
    <m/>
    <m/>
    <m/>
    <m/>
    <m/>
    <m/>
    <m/>
    <m/>
  </r>
  <r>
    <s v="00326"/>
    <m/>
    <s v=""/>
    <m/>
    <m/>
    <m/>
    <m/>
    <m/>
    <m/>
    <x v="10"/>
    <m/>
    <m/>
    <m/>
    <x v="12"/>
    <m/>
    <m/>
    <m/>
    <x v="5"/>
    <x v="8"/>
    <m/>
    <m/>
    <m/>
    <m/>
    <m/>
    <m/>
    <m/>
    <m/>
    <m/>
    <m/>
    <m/>
    <m/>
    <m/>
    <m/>
    <m/>
    <m/>
    <m/>
    <m/>
    <m/>
    <m/>
    <m/>
    <m/>
  </r>
  <r>
    <s v="00327"/>
    <m/>
    <s v=""/>
    <m/>
    <m/>
    <m/>
    <m/>
    <m/>
    <m/>
    <x v="10"/>
    <m/>
    <m/>
    <m/>
    <x v="12"/>
    <m/>
    <m/>
    <m/>
    <x v="5"/>
    <x v="8"/>
    <m/>
    <m/>
    <m/>
    <m/>
    <m/>
    <m/>
    <m/>
    <m/>
    <m/>
    <m/>
    <m/>
    <m/>
    <m/>
    <m/>
    <m/>
    <m/>
    <m/>
    <m/>
    <m/>
    <m/>
    <m/>
    <m/>
  </r>
  <r>
    <s v="00328"/>
    <m/>
    <s v=""/>
    <m/>
    <m/>
    <m/>
    <m/>
    <m/>
    <m/>
    <x v="10"/>
    <m/>
    <m/>
    <m/>
    <x v="12"/>
    <m/>
    <m/>
    <m/>
    <x v="5"/>
    <x v="8"/>
    <m/>
    <m/>
    <m/>
    <m/>
    <m/>
    <m/>
    <m/>
    <m/>
    <m/>
    <m/>
    <m/>
    <m/>
    <m/>
    <m/>
    <m/>
    <m/>
    <m/>
    <m/>
    <m/>
    <m/>
    <m/>
    <m/>
  </r>
  <r>
    <s v="00329"/>
    <m/>
    <s v=""/>
    <m/>
    <m/>
    <m/>
    <m/>
    <m/>
    <m/>
    <x v="10"/>
    <m/>
    <m/>
    <m/>
    <x v="12"/>
    <m/>
    <m/>
    <m/>
    <x v="5"/>
    <x v="8"/>
    <m/>
    <m/>
    <m/>
    <m/>
    <m/>
    <m/>
    <m/>
    <m/>
    <m/>
    <m/>
    <m/>
    <m/>
    <m/>
    <m/>
    <m/>
    <m/>
    <m/>
    <m/>
    <m/>
    <m/>
    <m/>
    <m/>
  </r>
  <r>
    <s v="00330"/>
    <m/>
    <s v=""/>
    <m/>
    <m/>
    <m/>
    <m/>
    <m/>
    <m/>
    <x v="10"/>
    <m/>
    <m/>
    <m/>
    <x v="12"/>
    <m/>
    <m/>
    <m/>
    <x v="5"/>
    <x v="8"/>
    <m/>
    <m/>
    <m/>
    <m/>
    <m/>
    <m/>
    <m/>
    <m/>
    <m/>
    <m/>
    <m/>
    <m/>
    <m/>
    <m/>
    <m/>
    <m/>
    <m/>
    <m/>
    <m/>
    <m/>
    <m/>
    <m/>
  </r>
  <r>
    <s v="00331"/>
    <m/>
    <s v=""/>
    <m/>
    <m/>
    <m/>
    <m/>
    <m/>
    <m/>
    <x v="10"/>
    <m/>
    <m/>
    <m/>
    <x v="12"/>
    <m/>
    <m/>
    <m/>
    <x v="5"/>
    <x v="8"/>
    <m/>
    <m/>
    <m/>
    <m/>
    <m/>
    <m/>
    <m/>
    <m/>
    <m/>
    <m/>
    <m/>
    <m/>
    <m/>
    <m/>
    <m/>
    <m/>
    <m/>
    <m/>
    <m/>
    <m/>
    <m/>
    <m/>
  </r>
  <r>
    <s v="00332"/>
    <m/>
    <s v=""/>
    <m/>
    <m/>
    <m/>
    <m/>
    <m/>
    <m/>
    <x v="10"/>
    <m/>
    <m/>
    <m/>
    <x v="12"/>
    <m/>
    <m/>
    <m/>
    <x v="5"/>
    <x v="8"/>
    <m/>
    <m/>
    <m/>
    <m/>
    <m/>
    <m/>
    <m/>
    <m/>
    <m/>
    <m/>
    <m/>
    <m/>
    <m/>
    <m/>
    <m/>
    <m/>
    <m/>
    <m/>
    <m/>
    <m/>
    <m/>
    <m/>
  </r>
  <r>
    <s v="00333"/>
    <m/>
    <s v=""/>
    <m/>
    <m/>
    <m/>
    <m/>
    <m/>
    <m/>
    <x v="10"/>
    <m/>
    <m/>
    <m/>
    <x v="12"/>
    <m/>
    <m/>
    <m/>
    <x v="5"/>
    <x v="8"/>
    <m/>
    <m/>
    <m/>
    <m/>
    <m/>
    <m/>
    <m/>
    <m/>
    <m/>
    <m/>
    <m/>
    <m/>
    <m/>
    <m/>
    <m/>
    <m/>
    <m/>
    <m/>
    <m/>
    <m/>
    <m/>
    <m/>
  </r>
  <r>
    <s v="00334"/>
    <m/>
    <s v=""/>
    <m/>
    <m/>
    <m/>
    <m/>
    <m/>
    <m/>
    <x v="10"/>
    <m/>
    <m/>
    <m/>
    <x v="12"/>
    <m/>
    <m/>
    <m/>
    <x v="5"/>
    <x v="8"/>
    <m/>
    <m/>
    <m/>
    <m/>
    <m/>
    <m/>
    <m/>
    <m/>
    <m/>
    <m/>
    <m/>
    <m/>
    <m/>
    <m/>
    <m/>
    <m/>
    <m/>
    <m/>
    <m/>
    <m/>
    <m/>
    <m/>
  </r>
  <r>
    <s v="00335"/>
    <m/>
    <s v=""/>
    <m/>
    <m/>
    <m/>
    <m/>
    <m/>
    <m/>
    <x v="10"/>
    <m/>
    <m/>
    <m/>
    <x v="12"/>
    <m/>
    <m/>
    <m/>
    <x v="5"/>
    <x v="8"/>
    <m/>
    <m/>
    <m/>
    <m/>
    <m/>
    <m/>
    <m/>
    <m/>
    <m/>
    <m/>
    <m/>
    <m/>
    <m/>
    <m/>
    <m/>
    <m/>
    <m/>
    <m/>
    <m/>
    <m/>
    <m/>
    <m/>
  </r>
  <r>
    <s v="00336"/>
    <m/>
    <s v=""/>
    <m/>
    <m/>
    <m/>
    <m/>
    <m/>
    <m/>
    <x v="10"/>
    <m/>
    <m/>
    <m/>
    <x v="12"/>
    <m/>
    <m/>
    <m/>
    <x v="5"/>
    <x v="8"/>
    <m/>
    <m/>
    <m/>
    <m/>
    <m/>
    <m/>
    <m/>
    <m/>
    <m/>
    <m/>
    <m/>
    <m/>
    <m/>
    <m/>
    <m/>
    <m/>
    <m/>
    <m/>
    <m/>
    <m/>
    <m/>
    <m/>
  </r>
  <r>
    <s v="00337"/>
    <m/>
    <s v=""/>
    <m/>
    <m/>
    <m/>
    <m/>
    <m/>
    <m/>
    <x v="10"/>
    <m/>
    <m/>
    <m/>
    <x v="12"/>
    <m/>
    <m/>
    <m/>
    <x v="5"/>
    <x v="8"/>
    <m/>
    <m/>
    <m/>
    <m/>
    <m/>
    <m/>
    <m/>
    <m/>
    <m/>
    <m/>
    <m/>
    <m/>
    <m/>
    <m/>
    <m/>
    <m/>
    <m/>
    <m/>
    <m/>
    <m/>
    <m/>
    <m/>
  </r>
  <r>
    <s v="00338"/>
    <m/>
    <s v=""/>
    <m/>
    <m/>
    <m/>
    <m/>
    <m/>
    <m/>
    <x v="10"/>
    <m/>
    <m/>
    <m/>
    <x v="12"/>
    <m/>
    <m/>
    <m/>
    <x v="5"/>
    <x v="8"/>
    <m/>
    <m/>
    <m/>
    <m/>
    <m/>
    <m/>
    <m/>
    <m/>
    <m/>
    <m/>
    <m/>
    <m/>
    <m/>
    <m/>
    <m/>
    <m/>
    <m/>
    <m/>
    <m/>
    <m/>
    <m/>
    <m/>
  </r>
  <r>
    <s v="00339"/>
    <m/>
    <s v=""/>
    <m/>
    <m/>
    <m/>
    <m/>
    <m/>
    <m/>
    <x v="10"/>
    <m/>
    <m/>
    <m/>
    <x v="12"/>
    <m/>
    <m/>
    <m/>
    <x v="5"/>
    <x v="8"/>
    <m/>
    <m/>
    <m/>
    <m/>
    <m/>
    <m/>
    <m/>
    <m/>
    <m/>
    <m/>
    <m/>
    <m/>
    <m/>
    <m/>
    <m/>
    <m/>
    <m/>
    <m/>
    <m/>
    <m/>
    <m/>
    <m/>
  </r>
  <r>
    <s v="00340"/>
    <m/>
    <s v=""/>
    <m/>
    <m/>
    <m/>
    <m/>
    <m/>
    <m/>
    <x v="10"/>
    <m/>
    <m/>
    <m/>
    <x v="12"/>
    <m/>
    <m/>
    <m/>
    <x v="5"/>
    <x v="8"/>
    <m/>
    <m/>
    <m/>
    <m/>
    <m/>
    <m/>
    <m/>
    <m/>
    <m/>
    <m/>
    <m/>
    <m/>
    <m/>
    <m/>
    <m/>
    <m/>
    <m/>
    <m/>
    <m/>
    <m/>
    <m/>
    <m/>
  </r>
  <r>
    <s v="00341"/>
    <m/>
    <s v=""/>
    <m/>
    <m/>
    <m/>
    <m/>
    <m/>
    <m/>
    <x v="10"/>
    <m/>
    <m/>
    <m/>
    <x v="12"/>
    <m/>
    <m/>
    <m/>
    <x v="5"/>
    <x v="8"/>
    <m/>
    <m/>
    <m/>
    <m/>
    <m/>
    <m/>
    <m/>
    <m/>
    <m/>
    <m/>
    <m/>
    <m/>
    <m/>
    <m/>
    <m/>
    <m/>
    <m/>
    <m/>
    <m/>
    <m/>
    <m/>
    <m/>
  </r>
  <r>
    <s v="00342"/>
    <m/>
    <s v=""/>
    <m/>
    <m/>
    <m/>
    <m/>
    <m/>
    <m/>
    <x v="10"/>
    <m/>
    <m/>
    <m/>
    <x v="12"/>
    <m/>
    <m/>
    <m/>
    <x v="5"/>
    <x v="8"/>
    <m/>
    <m/>
    <m/>
    <m/>
    <m/>
    <m/>
    <m/>
    <m/>
    <m/>
    <m/>
    <m/>
    <m/>
    <m/>
    <m/>
    <m/>
    <m/>
    <m/>
    <m/>
    <m/>
    <m/>
    <m/>
    <m/>
  </r>
  <r>
    <s v="00343"/>
    <m/>
    <s v=""/>
    <m/>
    <m/>
    <m/>
    <m/>
    <m/>
    <m/>
    <x v="10"/>
    <m/>
    <m/>
    <m/>
    <x v="12"/>
    <m/>
    <m/>
    <m/>
    <x v="5"/>
    <x v="8"/>
    <m/>
    <m/>
    <m/>
    <m/>
    <m/>
    <m/>
    <m/>
    <m/>
    <m/>
    <m/>
    <m/>
    <m/>
    <m/>
    <m/>
    <m/>
    <m/>
    <m/>
    <m/>
    <m/>
    <m/>
    <m/>
    <m/>
  </r>
  <r>
    <s v="00344"/>
    <m/>
    <s v=""/>
    <m/>
    <m/>
    <m/>
    <m/>
    <m/>
    <m/>
    <x v="10"/>
    <m/>
    <m/>
    <m/>
    <x v="12"/>
    <m/>
    <m/>
    <m/>
    <x v="5"/>
    <x v="8"/>
    <m/>
    <m/>
    <m/>
    <m/>
    <m/>
    <m/>
    <m/>
    <m/>
    <m/>
    <m/>
    <m/>
    <m/>
    <m/>
    <m/>
    <m/>
    <m/>
    <m/>
    <m/>
    <m/>
    <m/>
    <m/>
    <m/>
  </r>
  <r>
    <s v="00345"/>
    <m/>
    <s v=""/>
    <m/>
    <m/>
    <m/>
    <m/>
    <m/>
    <m/>
    <x v="10"/>
    <m/>
    <m/>
    <m/>
    <x v="12"/>
    <m/>
    <m/>
    <m/>
    <x v="5"/>
    <x v="8"/>
    <m/>
    <m/>
    <m/>
    <m/>
    <m/>
    <m/>
    <m/>
    <m/>
    <m/>
    <m/>
    <m/>
    <m/>
    <m/>
    <m/>
    <m/>
    <m/>
    <m/>
    <m/>
    <m/>
    <m/>
    <m/>
    <m/>
  </r>
  <r>
    <s v="00346"/>
    <m/>
    <s v=""/>
    <m/>
    <m/>
    <m/>
    <m/>
    <m/>
    <m/>
    <x v="10"/>
    <m/>
    <m/>
    <m/>
    <x v="12"/>
    <m/>
    <m/>
    <m/>
    <x v="5"/>
    <x v="8"/>
    <m/>
    <m/>
    <m/>
    <m/>
    <m/>
    <m/>
    <m/>
    <m/>
    <m/>
    <m/>
    <m/>
    <m/>
    <m/>
    <m/>
    <m/>
    <m/>
    <m/>
    <m/>
    <m/>
    <m/>
    <m/>
    <m/>
  </r>
  <r>
    <s v="00347"/>
    <m/>
    <s v=""/>
    <m/>
    <m/>
    <m/>
    <m/>
    <m/>
    <m/>
    <x v="10"/>
    <m/>
    <m/>
    <m/>
    <x v="12"/>
    <m/>
    <m/>
    <m/>
    <x v="5"/>
    <x v="8"/>
    <m/>
    <m/>
    <m/>
    <m/>
    <m/>
    <m/>
    <m/>
    <m/>
    <m/>
    <m/>
    <m/>
    <m/>
    <m/>
    <m/>
    <m/>
    <m/>
    <m/>
    <m/>
    <m/>
    <m/>
    <m/>
    <m/>
  </r>
  <r>
    <s v="00348"/>
    <m/>
    <s v=""/>
    <m/>
    <m/>
    <m/>
    <m/>
    <m/>
    <m/>
    <x v="10"/>
    <m/>
    <m/>
    <m/>
    <x v="12"/>
    <m/>
    <m/>
    <m/>
    <x v="5"/>
    <x v="8"/>
    <m/>
    <m/>
    <m/>
    <m/>
    <m/>
    <m/>
    <m/>
    <m/>
    <m/>
    <m/>
    <m/>
    <m/>
    <m/>
    <m/>
    <m/>
    <m/>
    <m/>
    <m/>
    <m/>
    <m/>
    <m/>
    <m/>
  </r>
  <r>
    <s v="00349"/>
    <m/>
    <s v=""/>
    <m/>
    <m/>
    <m/>
    <m/>
    <m/>
    <m/>
    <x v="10"/>
    <m/>
    <m/>
    <m/>
    <x v="12"/>
    <m/>
    <m/>
    <m/>
    <x v="5"/>
    <x v="8"/>
    <m/>
    <m/>
    <m/>
    <m/>
    <m/>
    <m/>
    <m/>
    <m/>
    <m/>
    <m/>
    <m/>
    <m/>
    <m/>
    <m/>
    <m/>
    <m/>
    <m/>
    <m/>
    <m/>
    <m/>
    <m/>
    <m/>
  </r>
  <r>
    <s v="00350"/>
    <m/>
    <s v=""/>
    <m/>
    <m/>
    <m/>
    <m/>
    <m/>
    <m/>
    <x v="10"/>
    <m/>
    <m/>
    <m/>
    <x v="12"/>
    <m/>
    <m/>
    <m/>
    <x v="5"/>
    <x v="8"/>
    <m/>
    <m/>
    <m/>
    <m/>
    <m/>
    <m/>
    <m/>
    <m/>
    <m/>
    <m/>
    <m/>
    <m/>
    <m/>
    <m/>
    <m/>
    <m/>
    <m/>
    <m/>
    <m/>
    <m/>
    <m/>
    <m/>
  </r>
  <r>
    <s v="00351"/>
    <m/>
    <s v=""/>
    <m/>
    <m/>
    <m/>
    <m/>
    <m/>
    <m/>
    <x v="10"/>
    <m/>
    <m/>
    <m/>
    <x v="12"/>
    <m/>
    <m/>
    <m/>
    <x v="5"/>
    <x v="8"/>
    <m/>
    <m/>
    <m/>
    <m/>
    <m/>
    <m/>
    <m/>
    <m/>
    <m/>
    <m/>
    <m/>
    <m/>
    <m/>
    <m/>
    <m/>
    <m/>
    <m/>
    <m/>
    <m/>
    <m/>
    <m/>
    <m/>
  </r>
  <r>
    <s v="00352"/>
    <m/>
    <s v=""/>
    <m/>
    <m/>
    <m/>
    <m/>
    <m/>
    <m/>
    <x v="10"/>
    <m/>
    <m/>
    <m/>
    <x v="12"/>
    <m/>
    <m/>
    <m/>
    <x v="5"/>
    <x v="8"/>
    <m/>
    <m/>
    <m/>
    <m/>
    <m/>
    <m/>
    <m/>
    <m/>
    <m/>
    <m/>
    <m/>
    <m/>
    <m/>
    <m/>
    <m/>
    <m/>
    <m/>
    <m/>
    <m/>
    <m/>
    <m/>
    <m/>
  </r>
  <r>
    <s v="00353"/>
    <m/>
    <s v=""/>
    <m/>
    <m/>
    <m/>
    <m/>
    <m/>
    <m/>
    <x v="10"/>
    <m/>
    <m/>
    <m/>
    <x v="12"/>
    <m/>
    <m/>
    <m/>
    <x v="5"/>
    <x v="8"/>
    <m/>
    <m/>
    <m/>
    <m/>
    <m/>
    <m/>
    <m/>
    <m/>
    <m/>
    <m/>
    <m/>
    <m/>
    <m/>
    <m/>
    <m/>
    <m/>
    <m/>
    <m/>
    <m/>
    <m/>
    <m/>
    <m/>
  </r>
  <r>
    <s v="00354"/>
    <m/>
    <s v=""/>
    <m/>
    <m/>
    <m/>
    <m/>
    <m/>
    <m/>
    <x v="10"/>
    <m/>
    <m/>
    <m/>
    <x v="12"/>
    <m/>
    <m/>
    <m/>
    <x v="5"/>
    <x v="8"/>
    <m/>
    <m/>
    <m/>
    <m/>
    <m/>
    <m/>
    <m/>
    <m/>
    <m/>
    <m/>
    <m/>
    <m/>
    <m/>
    <m/>
    <m/>
    <m/>
    <m/>
    <m/>
    <m/>
    <m/>
    <m/>
    <m/>
  </r>
  <r>
    <s v="00355"/>
    <m/>
    <s v=""/>
    <m/>
    <m/>
    <m/>
    <m/>
    <m/>
    <m/>
    <x v="10"/>
    <m/>
    <m/>
    <m/>
    <x v="12"/>
    <m/>
    <m/>
    <m/>
    <x v="5"/>
    <x v="8"/>
    <m/>
    <m/>
    <m/>
    <m/>
    <m/>
    <m/>
    <m/>
    <m/>
    <m/>
    <m/>
    <m/>
    <m/>
    <m/>
    <m/>
    <m/>
    <m/>
    <m/>
    <m/>
    <m/>
    <m/>
    <m/>
    <m/>
  </r>
  <r>
    <s v="00356"/>
    <m/>
    <s v=""/>
    <m/>
    <m/>
    <m/>
    <m/>
    <m/>
    <m/>
    <x v="10"/>
    <m/>
    <m/>
    <m/>
    <x v="12"/>
    <m/>
    <m/>
    <m/>
    <x v="5"/>
    <x v="8"/>
    <m/>
    <m/>
    <m/>
    <m/>
    <m/>
    <m/>
    <m/>
    <m/>
    <m/>
    <m/>
    <m/>
    <m/>
    <m/>
    <m/>
    <m/>
    <m/>
    <m/>
    <m/>
    <m/>
    <m/>
    <m/>
    <m/>
  </r>
  <r>
    <s v="00357"/>
    <m/>
    <s v=""/>
    <m/>
    <m/>
    <m/>
    <m/>
    <m/>
    <m/>
    <x v="10"/>
    <m/>
    <m/>
    <m/>
    <x v="12"/>
    <m/>
    <m/>
    <m/>
    <x v="5"/>
    <x v="8"/>
    <m/>
    <m/>
    <m/>
    <m/>
    <m/>
    <m/>
    <m/>
    <m/>
    <m/>
    <m/>
    <m/>
    <m/>
    <m/>
    <m/>
    <m/>
    <m/>
    <m/>
    <m/>
    <m/>
    <m/>
    <m/>
    <m/>
  </r>
  <r>
    <s v="00358"/>
    <m/>
    <s v=""/>
    <m/>
    <m/>
    <m/>
    <m/>
    <m/>
    <m/>
    <x v="10"/>
    <m/>
    <m/>
    <m/>
    <x v="12"/>
    <m/>
    <m/>
    <m/>
    <x v="5"/>
    <x v="8"/>
    <m/>
    <m/>
    <m/>
    <m/>
    <m/>
    <m/>
    <m/>
    <m/>
    <m/>
    <m/>
    <m/>
    <m/>
    <m/>
    <m/>
    <m/>
    <m/>
    <m/>
    <m/>
    <m/>
    <m/>
    <m/>
    <m/>
  </r>
  <r>
    <s v="00359"/>
    <m/>
    <s v=""/>
    <m/>
    <m/>
    <m/>
    <m/>
    <m/>
    <m/>
    <x v="10"/>
    <m/>
    <m/>
    <m/>
    <x v="12"/>
    <m/>
    <m/>
    <m/>
    <x v="5"/>
    <x v="8"/>
    <m/>
    <m/>
    <m/>
    <m/>
    <m/>
    <m/>
    <m/>
    <m/>
    <m/>
    <m/>
    <m/>
    <m/>
    <m/>
    <m/>
    <m/>
    <m/>
    <m/>
    <m/>
    <m/>
    <m/>
    <m/>
    <m/>
  </r>
  <r>
    <s v="00360"/>
    <m/>
    <s v=""/>
    <m/>
    <m/>
    <m/>
    <m/>
    <m/>
    <m/>
    <x v="10"/>
    <m/>
    <m/>
    <m/>
    <x v="12"/>
    <m/>
    <m/>
    <m/>
    <x v="5"/>
    <x v="8"/>
    <m/>
    <m/>
    <m/>
    <m/>
    <m/>
    <m/>
    <m/>
    <m/>
    <m/>
    <m/>
    <m/>
    <m/>
    <m/>
    <m/>
    <m/>
    <m/>
    <m/>
    <m/>
    <m/>
    <m/>
    <m/>
    <m/>
  </r>
  <r>
    <s v="00361"/>
    <m/>
    <s v=""/>
    <m/>
    <m/>
    <m/>
    <m/>
    <m/>
    <m/>
    <x v="10"/>
    <m/>
    <m/>
    <m/>
    <x v="12"/>
    <m/>
    <m/>
    <m/>
    <x v="5"/>
    <x v="8"/>
    <m/>
    <m/>
    <m/>
    <m/>
    <m/>
    <m/>
    <m/>
    <m/>
    <m/>
    <m/>
    <m/>
    <m/>
    <m/>
    <m/>
    <m/>
    <m/>
    <m/>
    <m/>
    <m/>
    <m/>
    <m/>
    <m/>
  </r>
  <r>
    <s v="00362"/>
    <m/>
    <s v=""/>
    <m/>
    <m/>
    <m/>
    <m/>
    <m/>
    <m/>
    <x v="10"/>
    <m/>
    <m/>
    <m/>
    <x v="12"/>
    <m/>
    <m/>
    <m/>
    <x v="5"/>
    <x v="8"/>
    <m/>
    <m/>
    <m/>
    <m/>
    <m/>
    <m/>
    <m/>
    <m/>
    <m/>
    <m/>
    <m/>
    <m/>
    <m/>
    <m/>
    <m/>
    <m/>
    <m/>
    <m/>
    <m/>
    <m/>
    <m/>
    <m/>
  </r>
  <r>
    <s v="00363"/>
    <m/>
    <s v=""/>
    <m/>
    <m/>
    <m/>
    <m/>
    <m/>
    <m/>
    <x v="10"/>
    <m/>
    <m/>
    <m/>
    <x v="12"/>
    <m/>
    <m/>
    <m/>
    <x v="5"/>
    <x v="8"/>
    <m/>
    <m/>
    <m/>
    <m/>
    <m/>
    <m/>
    <m/>
    <m/>
    <m/>
    <m/>
    <m/>
    <m/>
    <m/>
    <m/>
    <m/>
    <m/>
    <m/>
    <m/>
    <m/>
    <m/>
    <m/>
    <m/>
  </r>
  <r>
    <s v="00364"/>
    <m/>
    <s v=""/>
    <m/>
    <m/>
    <m/>
    <m/>
    <m/>
    <m/>
    <x v="10"/>
    <m/>
    <m/>
    <m/>
    <x v="12"/>
    <m/>
    <m/>
    <m/>
    <x v="5"/>
    <x v="8"/>
    <m/>
    <m/>
    <m/>
    <m/>
    <m/>
    <m/>
    <m/>
    <m/>
    <m/>
    <m/>
    <m/>
    <m/>
    <m/>
    <m/>
    <m/>
    <m/>
    <m/>
    <m/>
    <m/>
    <m/>
    <m/>
    <m/>
  </r>
  <r>
    <s v="00365"/>
    <m/>
    <s v=""/>
    <m/>
    <m/>
    <m/>
    <m/>
    <m/>
    <m/>
    <x v="10"/>
    <m/>
    <m/>
    <m/>
    <x v="12"/>
    <m/>
    <m/>
    <m/>
    <x v="5"/>
    <x v="8"/>
    <m/>
    <m/>
    <m/>
    <m/>
    <m/>
    <m/>
    <m/>
    <m/>
    <m/>
    <m/>
    <m/>
    <m/>
    <m/>
    <m/>
    <m/>
    <m/>
    <m/>
    <m/>
    <m/>
    <m/>
    <m/>
    <m/>
  </r>
  <r>
    <s v="00366"/>
    <m/>
    <s v=""/>
    <m/>
    <m/>
    <m/>
    <m/>
    <m/>
    <m/>
    <x v="10"/>
    <m/>
    <m/>
    <m/>
    <x v="12"/>
    <m/>
    <m/>
    <m/>
    <x v="5"/>
    <x v="8"/>
    <m/>
    <m/>
    <m/>
    <m/>
    <m/>
    <m/>
    <m/>
    <m/>
    <m/>
    <m/>
    <m/>
    <m/>
    <m/>
    <m/>
    <m/>
    <m/>
    <m/>
    <m/>
    <m/>
    <m/>
    <m/>
    <m/>
  </r>
  <r>
    <s v="00367"/>
    <m/>
    <s v=""/>
    <m/>
    <m/>
    <m/>
    <m/>
    <m/>
    <m/>
    <x v="10"/>
    <m/>
    <m/>
    <m/>
    <x v="12"/>
    <m/>
    <m/>
    <m/>
    <x v="5"/>
    <x v="8"/>
    <m/>
    <m/>
    <m/>
    <m/>
    <m/>
    <m/>
    <m/>
    <m/>
    <m/>
    <m/>
    <m/>
    <m/>
    <m/>
    <m/>
    <m/>
    <m/>
    <m/>
    <m/>
    <m/>
    <m/>
    <m/>
    <m/>
  </r>
  <r>
    <s v="00368"/>
    <m/>
    <s v=""/>
    <m/>
    <m/>
    <m/>
    <m/>
    <m/>
    <m/>
    <x v="10"/>
    <m/>
    <m/>
    <m/>
    <x v="12"/>
    <m/>
    <m/>
    <m/>
    <x v="5"/>
    <x v="8"/>
    <m/>
    <m/>
    <m/>
    <m/>
    <m/>
    <m/>
    <m/>
    <m/>
    <m/>
    <m/>
    <m/>
    <m/>
    <m/>
    <m/>
    <m/>
    <m/>
    <m/>
    <m/>
    <m/>
    <m/>
    <m/>
    <m/>
  </r>
  <r>
    <s v="00369"/>
    <m/>
    <s v=""/>
    <m/>
    <m/>
    <m/>
    <m/>
    <m/>
    <m/>
    <x v="10"/>
    <m/>
    <m/>
    <m/>
    <x v="12"/>
    <m/>
    <m/>
    <m/>
    <x v="5"/>
    <x v="8"/>
    <m/>
    <m/>
    <m/>
    <m/>
    <m/>
    <m/>
    <m/>
    <m/>
    <m/>
    <m/>
    <m/>
    <m/>
    <m/>
    <m/>
    <m/>
    <m/>
    <m/>
    <m/>
    <m/>
    <m/>
    <m/>
    <m/>
  </r>
  <r>
    <s v="00370"/>
    <m/>
    <s v=""/>
    <m/>
    <m/>
    <m/>
    <m/>
    <m/>
    <m/>
    <x v="10"/>
    <m/>
    <m/>
    <m/>
    <x v="12"/>
    <m/>
    <m/>
    <m/>
    <x v="5"/>
    <x v="8"/>
    <m/>
    <m/>
    <m/>
    <m/>
    <m/>
    <m/>
    <m/>
    <m/>
    <m/>
    <m/>
    <m/>
    <m/>
    <m/>
    <m/>
    <m/>
    <m/>
    <m/>
    <m/>
    <m/>
    <m/>
    <m/>
    <m/>
  </r>
  <r>
    <s v="00371"/>
    <m/>
    <s v=""/>
    <m/>
    <m/>
    <m/>
    <m/>
    <m/>
    <m/>
    <x v="10"/>
    <m/>
    <m/>
    <m/>
    <x v="12"/>
    <m/>
    <m/>
    <m/>
    <x v="5"/>
    <x v="8"/>
    <m/>
    <m/>
    <m/>
    <m/>
    <m/>
    <m/>
    <m/>
    <m/>
    <m/>
    <m/>
    <m/>
    <m/>
    <m/>
    <m/>
    <m/>
    <m/>
    <m/>
    <m/>
    <m/>
    <m/>
    <m/>
    <m/>
  </r>
  <r>
    <s v="00372"/>
    <m/>
    <s v=""/>
    <m/>
    <m/>
    <m/>
    <m/>
    <m/>
    <m/>
    <x v="10"/>
    <m/>
    <m/>
    <m/>
    <x v="12"/>
    <m/>
    <m/>
    <m/>
    <x v="5"/>
    <x v="8"/>
    <m/>
    <m/>
    <m/>
    <m/>
    <m/>
    <m/>
    <m/>
    <m/>
    <m/>
    <m/>
    <m/>
    <m/>
    <m/>
    <m/>
    <m/>
    <m/>
    <m/>
    <m/>
    <m/>
    <m/>
    <m/>
    <m/>
  </r>
  <r>
    <s v="00373"/>
    <m/>
    <s v=""/>
    <m/>
    <m/>
    <m/>
    <m/>
    <m/>
    <m/>
    <x v="10"/>
    <m/>
    <m/>
    <m/>
    <x v="12"/>
    <m/>
    <m/>
    <m/>
    <x v="5"/>
    <x v="8"/>
    <m/>
    <m/>
    <m/>
    <m/>
    <m/>
    <m/>
    <m/>
    <m/>
    <m/>
    <m/>
    <m/>
    <m/>
    <m/>
    <m/>
    <m/>
    <m/>
    <m/>
    <m/>
    <m/>
    <m/>
    <m/>
    <m/>
  </r>
  <r>
    <s v="00374"/>
    <m/>
    <s v=""/>
    <m/>
    <m/>
    <m/>
    <m/>
    <m/>
    <m/>
    <x v="10"/>
    <m/>
    <m/>
    <m/>
    <x v="12"/>
    <m/>
    <m/>
    <m/>
    <x v="5"/>
    <x v="8"/>
    <m/>
    <m/>
    <m/>
    <m/>
    <m/>
    <m/>
    <m/>
    <m/>
    <m/>
    <m/>
    <m/>
    <m/>
    <m/>
    <m/>
    <m/>
    <m/>
    <m/>
    <m/>
    <m/>
    <m/>
    <m/>
    <m/>
  </r>
  <r>
    <s v="00375"/>
    <m/>
    <s v=""/>
    <m/>
    <m/>
    <m/>
    <m/>
    <m/>
    <m/>
    <x v="10"/>
    <m/>
    <m/>
    <m/>
    <x v="12"/>
    <m/>
    <m/>
    <m/>
    <x v="5"/>
    <x v="8"/>
    <m/>
    <m/>
    <m/>
    <m/>
    <m/>
    <m/>
    <m/>
    <m/>
    <m/>
    <m/>
    <m/>
    <m/>
    <m/>
    <m/>
    <m/>
    <m/>
    <m/>
    <m/>
    <m/>
    <m/>
    <m/>
    <m/>
  </r>
  <r>
    <s v="00376"/>
    <m/>
    <s v=""/>
    <m/>
    <m/>
    <m/>
    <m/>
    <m/>
    <m/>
    <x v="10"/>
    <m/>
    <m/>
    <m/>
    <x v="12"/>
    <m/>
    <m/>
    <m/>
    <x v="5"/>
    <x v="8"/>
    <m/>
    <m/>
    <m/>
    <m/>
    <m/>
    <m/>
    <m/>
    <m/>
    <m/>
    <m/>
    <m/>
    <m/>
    <m/>
    <m/>
    <m/>
    <m/>
    <m/>
    <m/>
    <m/>
    <m/>
    <m/>
    <m/>
  </r>
  <r>
    <s v="00377"/>
    <m/>
    <s v=""/>
    <m/>
    <m/>
    <m/>
    <m/>
    <m/>
    <m/>
    <x v="10"/>
    <m/>
    <m/>
    <m/>
    <x v="12"/>
    <m/>
    <m/>
    <m/>
    <x v="5"/>
    <x v="8"/>
    <m/>
    <m/>
    <m/>
    <m/>
    <m/>
    <m/>
    <m/>
    <m/>
    <m/>
    <m/>
    <m/>
    <m/>
    <m/>
    <m/>
    <m/>
    <m/>
    <m/>
    <m/>
    <m/>
    <m/>
    <m/>
    <m/>
  </r>
  <r>
    <s v="00378"/>
    <m/>
    <s v=""/>
    <m/>
    <m/>
    <m/>
    <m/>
    <m/>
    <m/>
    <x v="10"/>
    <m/>
    <m/>
    <m/>
    <x v="12"/>
    <m/>
    <m/>
    <m/>
    <x v="5"/>
    <x v="8"/>
    <m/>
    <m/>
    <m/>
    <m/>
    <m/>
    <m/>
    <m/>
    <m/>
    <m/>
    <m/>
    <m/>
    <m/>
    <m/>
    <m/>
    <m/>
    <m/>
    <m/>
    <m/>
    <m/>
    <m/>
    <m/>
    <m/>
  </r>
  <r>
    <s v="00379"/>
    <m/>
    <s v=""/>
    <m/>
    <m/>
    <m/>
    <m/>
    <m/>
    <m/>
    <x v="10"/>
    <m/>
    <m/>
    <m/>
    <x v="12"/>
    <m/>
    <m/>
    <m/>
    <x v="5"/>
    <x v="8"/>
    <m/>
    <m/>
    <m/>
    <m/>
    <m/>
    <m/>
    <m/>
    <m/>
    <m/>
    <m/>
    <m/>
    <m/>
    <m/>
    <m/>
    <m/>
    <m/>
    <m/>
    <m/>
    <m/>
    <m/>
    <m/>
    <m/>
  </r>
  <r>
    <s v="00380"/>
    <m/>
    <s v=""/>
    <m/>
    <m/>
    <m/>
    <m/>
    <m/>
    <m/>
    <x v="10"/>
    <m/>
    <m/>
    <m/>
    <x v="12"/>
    <m/>
    <m/>
    <m/>
    <x v="5"/>
    <x v="8"/>
    <m/>
    <m/>
    <m/>
    <m/>
    <m/>
    <m/>
    <m/>
    <m/>
    <m/>
    <m/>
    <m/>
    <m/>
    <m/>
    <m/>
    <m/>
    <m/>
    <m/>
    <m/>
    <m/>
    <m/>
    <m/>
    <m/>
  </r>
  <r>
    <s v="00381"/>
    <m/>
    <s v=""/>
    <m/>
    <m/>
    <m/>
    <m/>
    <m/>
    <m/>
    <x v="10"/>
    <m/>
    <m/>
    <m/>
    <x v="12"/>
    <m/>
    <m/>
    <m/>
    <x v="5"/>
    <x v="8"/>
    <m/>
    <m/>
    <m/>
    <m/>
    <m/>
    <m/>
    <m/>
    <m/>
    <m/>
    <m/>
    <m/>
    <m/>
    <m/>
    <m/>
    <m/>
    <m/>
    <m/>
    <m/>
    <m/>
    <m/>
    <m/>
    <m/>
  </r>
  <r>
    <s v="00382"/>
    <m/>
    <s v=""/>
    <m/>
    <m/>
    <m/>
    <m/>
    <m/>
    <m/>
    <x v="10"/>
    <m/>
    <m/>
    <m/>
    <x v="12"/>
    <m/>
    <m/>
    <m/>
    <x v="5"/>
    <x v="8"/>
    <m/>
    <m/>
    <m/>
    <m/>
    <m/>
    <m/>
    <m/>
    <m/>
    <m/>
    <m/>
    <m/>
    <m/>
    <m/>
    <m/>
    <m/>
    <m/>
    <m/>
    <m/>
    <m/>
    <m/>
    <m/>
    <m/>
  </r>
  <r>
    <s v="00383"/>
    <m/>
    <s v=""/>
    <m/>
    <m/>
    <m/>
    <m/>
    <m/>
    <m/>
    <x v="10"/>
    <m/>
    <m/>
    <m/>
    <x v="12"/>
    <m/>
    <m/>
    <m/>
    <x v="5"/>
    <x v="8"/>
    <m/>
    <m/>
    <m/>
    <m/>
    <m/>
    <m/>
    <m/>
    <m/>
    <m/>
    <m/>
    <m/>
    <m/>
    <m/>
    <m/>
    <m/>
    <m/>
    <m/>
    <m/>
    <m/>
    <m/>
    <m/>
    <m/>
  </r>
  <r>
    <s v="00384"/>
    <m/>
    <s v=""/>
    <m/>
    <m/>
    <m/>
    <m/>
    <m/>
    <m/>
    <x v="10"/>
    <m/>
    <m/>
    <m/>
    <x v="12"/>
    <m/>
    <m/>
    <m/>
    <x v="5"/>
    <x v="8"/>
    <m/>
    <m/>
    <m/>
    <m/>
    <m/>
    <m/>
    <m/>
    <m/>
    <m/>
    <m/>
    <m/>
    <m/>
    <m/>
    <m/>
    <m/>
    <m/>
    <m/>
    <m/>
    <m/>
    <m/>
    <m/>
    <m/>
  </r>
  <r>
    <s v="00385"/>
    <m/>
    <s v=""/>
    <m/>
    <m/>
    <m/>
    <m/>
    <m/>
    <m/>
    <x v="10"/>
    <m/>
    <m/>
    <m/>
    <x v="12"/>
    <m/>
    <m/>
    <m/>
    <x v="5"/>
    <x v="8"/>
    <m/>
    <m/>
    <m/>
    <m/>
    <m/>
    <m/>
    <m/>
    <m/>
    <m/>
    <m/>
    <m/>
    <m/>
    <m/>
    <m/>
    <m/>
    <m/>
    <m/>
    <m/>
    <m/>
    <m/>
    <m/>
    <m/>
  </r>
  <r>
    <s v="00386"/>
    <m/>
    <s v=""/>
    <m/>
    <m/>
    <m/>
    <m/>
    <m/>
    <m/>
    <x v="10"/>
    <m/>
    <m/>
    <m/>
    <x v="12"/>
    <m/>
    <m/>
    <m/>
    <x v="5"/>
    <x v="8"/>
    <m/>
    <m/>
    <m/>
    <m/>
    <m/>
    <m/>
    <m/>
    <m/>
    <m/>
    <m/>
    <m/>
    <m/>
    <m/>
    <m/>
    <m/>
    <m/>
    <m/>
    <m/>
    <m/>
    <m/>
    <m/>
    <m/>
  </r>
  <r>
    <s v="00387"/>
    <m/>
    <s v=""/>
    <m/>
    <m/>
    <m/>
    <m/>
    <m/>
    <m/>
    <x v="10"/>
    <m/>
    <m/>
    <m/>
    <x v="12"/>
    <m/>
    <m/>
    <m/>
    <x v="5"/>
    <x v="8"/>
    <m/>
    <m/>
    <m/>
    <m/>
    <m/>
    <m/>
    <m/>
    <m/>
    <m/>
    <m/>
    <m/>
    <m/>
    <m/>
    <m/>
    <m/>
    <m/>
    <m/>
    <m/>
    <m/>
    <m/>
    <m/>
    <m/>
  </r>
  <r>
    <s v="00388"/>
    <m/>
    <s v=""/>
    <m/>
    <m/>
    <m/>
    <m/>
    <m/>
    <m/>
    <x v="10"/>
    <m/>
    <m/>
    <m/>
    <x v="12"/>
    <m/>
    <m/>
    <m/>
    <x v="5"/>
    <x v="8"/>
    <m/>
    <m/>
    <m/>
    <m/>
    <m/>
    <m/>
    <m/>
    <m/>
    <m/>
    <m/>
    <m/>
    <m/>
    <m/>
    <m/>
    <m/>
    <m/>
    <m/>
    <m/>
    <m/>
    <m/>
    <m/>
    <m/>
  </r>
  <r>
    <s v="00389"/>
    <m/>
    <s v=""/>
    <m/>
    <m/>
    <m/>
    <m/>
    <m/>
    <m/>
    <x v="10"/>
    <m/>
    <m/>
    <m/>
    <x v="12"/>
    <m/>
    <m/>
    <m/>
    <x v="5"/>
    <x v="8"/>
    <m/>
    <m/>
    <m/>
    <m/>
    <m/>
    <m/>
    <m/>
    <m/>
    <m/>
    <m/>
    <m/>
    <m/>
    <m/>
    <m/>
    <m/>
    <m/>
    <m/>
    <m/>
    <m/>
    <m/>
    <m/>
    <m/>
  </r>
  <r>
    <s v="00390"/>
    <m/>
    <s v=""/>
    <m/>
    <m/>
    <m/>
    <m/>
    <m/>
    <m/>
    <x v="10"/>
    <m/>
    <m/>
    <m/>
    <x v="12"/>
    <m/>
    <m/>
    <m/>
    <x v="5"/>
    <x v="8"/>
    <m/>
    <m/>
    <m/>
    <m/>
    <m/>
    <m/>
    <m/>
    <m/>
    <m/>
    <m/>
    <m/>
    <m/>
    <m/>
    <m/>
    <m/>
    <m/>
    <m/>
    <m/>
    <m/>
    <m/>
    <m/>
    <m/>
  </r>
  <r>
    <s v="00391"/>
    <m/>
    <s v=""/>
    <m/>
    <m/>
    <m/>
    <m/>
    <m/>
    <m/>
    <x v="10"/>
    <m/>
    <m/>
    <m/>
    <x v="12"/>
    <m/>
    <m/>
    <m/>
    <x v="5"/>
    <x v="8"/>
    <m/>
    <m/>
    <m/>
    <m/>
    <m/>
    <m/>
    <m/>
    <m/>
    <m/>
    <m/>
    <m/>
    <m/>
    <m/>
    <m/>
    <m/>
    <m/>
    <m/>
    <m/>
    <m/>
    <m/>
    <m/>
    <m/>
  </r>
  <r>
    <s v="00392"/>
    <m/>
    <s v=""/>
    <m/>
    <m/>
    <m/>
    <m/>
    <m/>
    <m/>
    <x v="10"/>
    <m/>
    <m/>
    <m/>
    <x v="12"/>
    <m/>
    <m/>
    <m/>
    <x v="5"/>
    <x v="8"/>
    <m/>
    <m/>
    <m/>
    <m/>
    <m/>
    <m/>
    <m/>
    <m/>
    <m/>
    <m/>
    <m/>
    <m/>
    <m/>
    <m/>
    <m/>
    <m/>
    <m/>
    <m/>
    <m/>
    <m/>
    <m/>
    <m/>
  </r>
  <r>
    <s v="00393"/>
    <m/>
    <s v=""/>
    <m/>
    <m/>
    <m/>
    <m/>
    <m/>
    <m/>
    <x v="10"/>
    <m/>
    <m/>
    <m/>
    <x v="12"/>
    <m/>
    <m/>
    <m/>
    <x v="5"/>
    <x v="8"/>
    <m/>
    <m/>
    <m/>
    <m/>
    <m/>
    <m/>
    <m/>
    <m/>
    <m/>
    <m/>
    <m/>
    <m/>
    <m/>
    <m/>
    <m/>
    <m/>
    <m/>
    <m/>
    <m/>
    <m/>
    <m/>
    <m/>
  </r>
  <r>
    <s v="00394"/>
    <m/>
    <s v=""/>
    <m/>
    <m/>
    <m/>
    <m/>
    <m/>
    <m/>
    <x v="10"/>
    <m/>
    <m/>
    <m/>
    <x v="12"/>
    <m/>
    <m/>
    <m/>
    <x v="5"/>
    <x v="8"/>
    <m/>
    <m/>
    <m/>
    <m/>
    <m/>
    <m/>
    <m/>
    <m/>
    <m/>
    <m/>
    <m/>
    <m/>
    <m/>
    <m/>
    <m/>
    <m/>
    <m/>
    <m/>
    <m/>
    <m/>
    <m/>
    <m/>
  </r>
  <r>
    <s v="00395"/>
    <m/>
    <s v=""/>
    <m/>
    <m/>
    <m/>
    <m/>
    <m/>
    <m/>
    <x v="10"/>
    <m/>
    <m/>
    <m/>
    <x v="12"/>
    <m/>
    <m/>
    <m/>
    <x v="5"/>
    <x v="8"/>
    <m/>
    <m/>
    <m/>
    <m/>
    <m/>
    <m/>
    <m/>
    <m/>
    <m/>
    <m/>
    <m/>
    <m/>
    <m/>
    <m/>
    <m/>
    <m/>
    <m/>
    <m/>
    <m/>
    <m/>
    <m/>
    <m/>
  </r>
  <r>
    <s v="00396"/>
    <m/>
    <s v=""/>
    <m/>
    <m/>
    <m/>
    <m/>
    <m/>
    <m/>
    <x v="10"/>
    <m/>
    <m/>
    <m/>
    <x v="12"/>
    <m/>
    <m/>
    <m/>
    <x v="5"/>
    <x v="8"/>
    <m/>
    <m/>
    <m/>
    <m/>
    <m/>
    <m/>
    <m/>
    <m/>
    <m/>
    <m/>
    <m/>
    <m/>
    <m/>
    <m/>
    <m/>
    <m/>
    <m/>
    <m/>
    <m/>
    <m/>
    <m/>
    <m/>
  </r>
  <r>
    <s v="00397"/>
    <m/>
    <s v=""/>
    <m/>
    <m/>
    <m/>
    <m/>
    <m/>
    <m/>
    <x v="10"/>
    <m/>
    <m/>
    <m/>
    <x v="12"/>
    <m/>
    <m/>
    <m/>
    <x v="5"/>
    <x v="8"/>
    <m/>
    <m/>
    <m/>
    <m/>
    <m/>
    <m/>
    <m/>
    <m/>
    <m/>
    <m/>
    <m/>
    <m/>
    <m/>
    <m/>
    <m/>
    <m/>
    <m/>
    <m/>
    <m/>
    <m/>
    <m/>
    <m/>
  </r>
  <r>
    <s v="00398"/>
    <m/>
    <s v=""/>
    <m/>
    <m/>
    <m/>
    <m/>
    <m/>
    <m/>
    <x v="10"/>
    <m/>
    <m/>
    <m/>
    <x v="12"/>
    <m/>
    <m/>
    <m/>
    <x v="5"/>
    <x v="8"/>
    <m/>
    <m/>
    <m/>
    <m/>
    <m/>
    <m/>
    <m/>
    <m/>
    <m/>
    <m/>
    <m/>
    <m/>
    <m/>
    <m/>
    <m/>
    <m/>
    <m/>
    <m/>
    <m/>
    <m/>
    <m/>
    <m/>
  </r>
  <r>
    <s v="00399"/>
    <m/>
    <s v=""/>
    <m/>
    <m/>
    <m/>
    <m/>
    <m/>
    <m/>
    <x v="10"/>
    <m/>
    <m/>
    <m/>
    <x v="12"/>
    <m/>
    <m/>
    <m/>
    <x v="5"/>
    <x v="8"/>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C65634-ADC1-4FF7-870B-8EF38D3885BD}" name="TablaDinámica3" cacheId="20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9:D45" firstHeaderRow="1" firstDataRow="2" firstDataCol="1" rowPageCount="1" colPageCount="1"/>
  <pivotFields count="41">
    <pivotField compact="0" outline="0" showAll="0"/>
    <pivotField compact="0" outline="0" showAll="0"/>
    <pivotField compact="0" outline="0" showAll="0"/>
    <pivotField axis="axisRow" compact="0" outline="0" showAll="0" sortType="descending">
      <items count="8">
        <item x="2"/>
        <item x="3"/>
        <item x="0"/>
        <item x="1"/>
        <item x="4"/>
        <item x="5"/>
        <item m="1"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Col" compact="0" outline="0" multipleItemSelectionAllowed="1" showAll="0">
      <items count="8">
        <item h="1" x="1"/>
        <item h="1" x="0"/>
        <item x="2"/>
        <item x="3"/>
        <item h="1" x="4"/>
        <item h="1" x="5"/>
        <item h="1" m="1" x="6"/>
        <item t="default"/>
      </items>
    </pivotField>
    <pivotField axis="axisPage" compact="0" outline="0" showAll="0">
      <items count="19">
        <item x="1"/>
        <item m="1" x="13"/>
        <item m="1" x="17"/>
        <item x="0"/>
        <item m="1" x="16"/>
        <item x="11"/>
        <item x="5"/>
        <item x="8"/>
        <item x="12"/>
        <item x="2"/>
        <item x="4"/>
        <item x="10"/>
        <item x="6"/>
        <item x="3"/>
        <item x="9"/>
        <item m="1" x="14"/>
        <item x="7"/>
        <item m="1" x="1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5">
    <i>
      <x/>
    </i>
    <i>
      <x v="2"/>
    </i>
    <i>
      <x v="3"/>
    </i>
    <i>
      <x v="4"/>
    </i>
    <i t="grand">
      <x/>
    </i>
  </rowItems>
  <colFields count="1">
    <field x="17"/>
  </colFields>
  <colItems count="3">
    <i>
      <x v="2"/>
    </i>
    <i>
      <x v="3"/>
    </i>
    <i t="grand">
      <x/>
    </i>
  </colItems>
  <pageFields count="1">
    <pageField fld="18" hier="-1"/>
  </pageFields>
  <dataFields count="1">
    <dataField name="Cuenta de Familia de Puesto"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43F151-BF27-48DE-9002-CBE448111DE7}" name="TablaDinámica1" cacheId="20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6:B32" firstHeaderRow="1" firstDataRow="1" firstDataCol="1" rowPageCount="2" colPageCount="1"/>
  <pivotFields count="4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2">
        <item x="2"/>
        <item x="8"/>
        <item x="5"/>
        <item x="4"/>
        <item x="1"/>
        <item x="7"/>
        <item x="6"/>
        <item x="0"/>
        <item x="3"/>
        <item h="1" m="1" x="10"/>
        <item h="1"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Page" compact="0" outline="0" multipleItemSelectionAllowed="1" showAll="0">
      <items count="8">
        <item h="1" x="1"/>
        <item h="1" x="0"/>
        <item x="2"/>
        <item x="3"/>
        <item h="1" x="4"/>
        <item m="1" x="6"/>
        <item h="1" m="1" x="5"/>
        <item t="default"/>
      </items>
    </pivotField>
    <pivotField axis="axisPage" compact="0" outline="0" multipleItemSelectionAllowed="1" showAll="0">
      <items count="22">
        <item h="1" x="1"/>
        <item h="1" m="1" x="13"/>
        <item m="1" x="17"/>
        <item m="1" x="16"/>
        <item h="1" x="0"/>
        <item m="1" x="15"/>
        <item m="1" x="19"/>
        <item x="11"/>
        <item h="1" x="5"/>
        <item h="1" x="8"/>
        <item m="1" x="20"/>
        <item x="12"/>
        <item x="2"/>
        <item x="4"/>
        <item x="10"/>
        <item x="6"/>
        <item x="3"/>
        <item m="1" x="18"/>
        <item h="1" x="9"/>
        <item h="1" m="1" x="14"/>
        <item h="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6">
    <i>
      <x v="8"/>
    </i>
    <i>
      <x v="7"/>
    </i>
    <i>
      <x v="3"/>
    </i>
    <i>
      <x v="2"/>
    </i>
    <i>
      <x v="5"/>
    </i>
    <i t="grand">
      <x/>
    </i>
  </rowItems>
  <colItems count="1">
    <i/>
  </colItems>
  <pageFields count="2">
    <pageField fld="18" hier="-1"/>
    <pageField fld="17" hier="-1"/>
  </pageFields>
  <dataFields count="1">
    <dataField name="Cuenta de Familia de Puesto"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B312C6-2869-4C58-B7C2-10B48ECD48B8}" name="Tabla dinámica1" cacheId="20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2:J19" firstHeaderRow="1" firstDataRow="2" firstDataCol="1" rowPageCount="1" colPageCount="1"/>
  <pivotFields count="4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2">
        <item x="2"/>
        <item x="8"/>
        <item x="5"/>
        <item x="4"/>
        <item x="1"/>
        <item x="7"/>
        <item x="6"/>
        <item x="0"/>
        <item x="3"/>
        <item h="1" m="1" x="10"/>
        <item h="1"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Page" compact="0" outline="0" multipleItemSelectionAllowed="1" showAll="0">
      <items count="8">
        <item h="1" x="1"/>
        <item h="1" x="0"/>
        <item x="2"/>
        <item x="3"/>
        <item h="1" x="4"/>
        <item m="1" x="6"/>
        <item h="1" m="1" x="5"/>
        <item t="default"/>
      </items>
    </pivotField>
    <pivotField axis="axisCol" compact="0" outline="0" showAll="0">
      <items count="22">
        <item x="1"/>
        <item m="1" x="13"/>
        <item m="1" x="17"/>
        <item m="1" x="16"/>
        <item x="0"/>
        <item m="1" x="15"/>
        <item m="1" x="19"/>
        <item x="11"/>
        <item x="5"/>
        <item x="8"/>
        <item m="1" x="20"/>
        <item x="12"/>
        <item x="2"/>
        <item x="4"/>
        <item x="10"/>
        <item x="6"/>
        <item x="3"/>
        <item m="1" x="18"/>
        <item x="9"/>
        <item m="1" x="1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6">
    <i>
      <x v="8"/>
    </i>
    <i>
      <x v="7"/>
    </i>
    <i>
      <x v="3"/>
    </i>
    <i>
      <x v="2"/>
    </i>
    <i>
      <x v="5"/>
    </i>
    <i t="grand">
      <x/>
    </i>
  </rowItems>
  <colFields count="1">
    <field x="18"/>
  </colFields>
  <colItems count="9">
    <i>
      <x v="7"/>
    </i>
    <i>
      <x v="11"/>
    </i>
    <i>
      <x v="12"/>
    </i>
    <i>
      <x v="13"/>
    </i>
    <i>
      <x v="14"/>
    </i>
    <i>
      <x v="15"/>
    </i>
    <i>
      <x v="16"/>
    </i>
    <i>
      <x v="20"/>
    </i>
    <i t="grand">
      <x/>
    </i>
  </colItems>
  <pageFields count="1">
    <pageField fld="17" hier="-1"/>
  </pageFields>
  <dataFields count="1">
    <dataField name="Cuenta de Familia de Puesto"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50B5DE-D50F-4C80-82D7-43929FE13854}" name="TablaDinámica5" cacheId="20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5:A6" firstHeaderRow="1" firstDataRow="1" firstDataCol="0" rowPageCount="3" colPageCount="1"/>
  <pivotFields count="4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sortType="descending">
      <items count="12">
        <item x="2"/>
        <item x="8"/>
        <item x="5"/>
        <item x="4"/>
        <item x="1"/>
        <item x="7"/>
        <item x="6"/>
        <item x="0"/>
        <item x="3"/>
        <item h="1" m="1" x="10"/>
        <item h="1"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Page" compact="0" outline="0" multipleItemSelectionAllowed="1" showAll="0">
      <items count="8">
        <item h="1" x="1"/>
        <item h="1" x="0"/>
        <item x="2"/>
        <item x="3"/>
        <item h="1" x="4"/>
        <item m="1" x="6"/>
        <item h="1" m="1" x="5"/>
        <item t="default"/>
      </items>
    </pivotField>
    <pivotField axis="axisPage" compact="0" outline="0" showAll="0">
      <items count="22">
        <item x="1"/>
        <item m="1" x="13"/>
        <item m="1" x="17"/>
        <item m="1" x="16"/>
        <item x="0"/>
        <item m="1" x="15"/>
        <item m="1" x="19"/>
        <item x="11"/>
        <item x="5"/>
        <item x="8"/>
        <item m="1" x="20"/>
        <item x="12"/>
        <item x="2"/>
        <item x="4"/>
        <item x="10"/>
        <item x="6"/>
        <item x="3"/>
        <item m="1" x="18"/>
        <item x="9"/>
        <item m="1" x="1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pageFields count="3">
    <pageField fld="9" hier="-1"/>
    <pageField fld="18" hier="-1"/>
    <pageField fld="17" hier="-1"/>
  </pageFields>
  <dataFields count="1">
    <dataField name="Cuenta de Familia de Puesto" fld="13" subtotal="count" baseField="0" baseItem="0"/>
  </dataFields>
  <formats count="2">
    <format dxfId="6">
      <pivotArea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CE3642-8C8F-444B-A3DE-A87B7C267DEB}" name="TablaDinámica4" cacheId="20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51:D64" firstHeaderRow="1" firstDataRow="2" firstDataCol="1" rowPageCount="2" colPageCount="1"/>
  <pivotFields count="4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sortType="descending">
      <items count="12">
        <item x="2"/>
        <item x="8"/>
        <item x="5"/>
        <item x="4"/>
        <item x="1"/>
        <item x="7"/>
        <item x="6"/>
        <item x="0"/>
        <item x="3"/>
        <item x="10"/>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Row" dataField="1" compact="0" outline="0" showAll="0" sortType="descending">
      <items count="14">
        <item x="3"/>
        <item x="7"/>
        <item x="11"/>
        <item x="6"/>
        <item x="2"/>
        <item x="5"/>
        <item x="0"/>
        <item x="8"/>
        <item x="1"/>
        <item x="10"/>
        <item x="9"/>
        <item x="4"/>
        <item x="12"/>
        <item t="default"/>
      </items>
      <autoSortScope>
        <pivotArea dataOnly="0" outline="0" fieldPosition="0">
          <references count="1">
            <reference field="4294967294" count="1" selected="0">
              <x v="0"/>
            </reference>
          </references>
        </pivotArea>
      </autoSortScope>
    </pivotField>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axis="axisCol" compact="0" outline="0" multipleItemSelectionAllowed="1" showAll="0">
      <items count="7">
        <item h="1" x="1"/>
        <item h="1" x="0"/>
        <item x="2"/>
        <item x="3"/>
        <item h="1" x="4"/>
        <item h="1" x="5"/>
        <item t="default"/>
      </items>
    </pivotField>
    <pivotField axis="axisPage" compact="0" outline="0" showAll="0">
      <items count="14">
        <item x="1"/>
        <item x="0"/>
        <item x="11"/>
        <item x="5"/>
        <item x="8"/>
        <item x="12"/>
        <item x="2"/>
        <item x="4"/>
        <item x="10"/>
        <item x="6"/>
        <item x="3"/>
        <item x="9"/>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3"/>
  </rowFields>
  <rowItems count="12">
    <i>
      <x v="6"/>
    </i>
    <i>
      <x v="3"/>
    </i>
    <i>
      <x v="8"/>
    </i>
    <i>
      <x v="11"/>
    </i>
    <i>
      <x v="5"/>
    </i>
    <i>
      <x/>
    </i>
    <i>
      <x v="1"/>
    </i>
    <i>
      <x v="9"/>
    </i>
    <i>
      <x v="4"/>
    </i>
    <i>
      <x v="2"/>
    </i>
    <i>
      <x v="7"/>
    </i>
    <i t="grand">
      <x/>
    </i>
  </rowItems>
  <colFields count="1">
    <field x="17"/>
  </colFields>
  <colItems count="3">
    <i>
      <x v="2"/>
    </i>
    <i>
      <x v="3"/>
    </i>
    <i t="grand">
      <x/>
    </i>
  </colItems>
  <pageFields count="2">
    <pageField fld="18" hier="-1"/>
    <pageField fld="9" hier="-1"/>
  </pageFields>
  <dataFields count="1">
    <dataField name="Cuenta de Familia de Puesto"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F248B-5B5A-4EA2-90C8-48DA023AA97A}">
  <sheetPr filterMode="1"/>
  <dimension ref="A1:AO400"/>
  <sheetViews>
    <sheetView tabSelected="1" zoomScale="80" zoomScaleNormal="80" workbookViewId="0">
      <pane ySplit="1" topLeftCell="M251" activePane="bottomLeft" state="frozen"/>
      <selection pane="bottomLeft" activeCell="R2" sqref="R2"/>
    </sheetView>
  </sheetViews>
  <sheetFormatPr defaultColWidth="11.42578125" defaultRowHeight="14.25"/>
  <cols>
    <col min="1" max="1" width="14.140625" style="6" customWidth="1"/>
    <col min="2" max="2" width="17" style="6" bestFit="1" customWidth="1"/>
    <col min="3" max="3" width="17" style="6" customWidth="1"/>
    <col min="4" max="4" width="32.28515625" style="6" customWidth="1"/>
    <col min="5" max="6" width="27.140625" style="6" customWidth="1"/>
    <col min="7" max="7" width="20" style="6" customWidth="1"/>
    <col min="8" max="8" width="21.140625" style="6" customWidth="1"/>
    <col min="9" max="9" width="31.42578125" style="6" customWidth="1"/>
    <col min="10" max="10" width="27.7109375" style="6" customWidth="1"/>
    <col min="11" max="11" width="27.140625" style="6" customWidth="1"/>
    <col min="12" max="12" width="30.28515625" style="6" customWidth="1"/>
    <col min="13" max="13" width="30.140625" style="6" customWidth="1"/>
    <col min="14" max="14" width="34.140625" style="6" customWidth="1"/>
    <col min="15" max="15" width="47.5703125" style="6" customWidth="1"/>
    <col min="16" max="16" width="21.140625" style="6" customWidth="1"/>
    <col min="17" max="17" width="21.7109375" style="6" customWidth="1"/>
    <col min="18" max="18" width="24.28515625" style="6" customWidth="1"/>
    <col min="19" max="19" width="33.5703125" style="6" customWidth="1"/>
    <col min="20" max="20" width="24.42578125" style="6" customWidth="1"/>
    <col min="21" max="22" width="11.42578125" style="6" customWidth="1"/>
    <col min="23" max="24" width="32.42578125" style="6" customWidth="1"/>
    <col min="25" max="25" width="46" style="6" customWidth="1"/>
    <col min="26" max="26" width="26.5703125" style="6" customWidth="1"/>
    <col min="27" max="29" width="36.5703125" style="6" customWidth="1"/>
    <col min="30" max="30" width="84.140625" style="6" customWidth="1"/>
    <col min="31" max="31" width="25" style="6" customWidth="1"/>
    <col min="32" max="32" width="14.5703125" style="6" customWidth="1"/>
    <col min="33" max="34" width="16" style="6" customWidth="1"/>
    <col min="35" max="35" width="10" style="6" customWidth="1"/>
    <col min="36" max="37" width="36.5703125" style="6" bestFit="1" customWidth="1"/>
    <col min="38" max="39" width="22.42578125" style="6" customWidth="1"/>
    <col min="40" max="40" width="8.7109375" style="6" customWidth="1"/>
    <col min="41" max="41" width="116.140625" style="6" customWidth="1"/>
    <col min="42" max="16383" width="11.42578125" style="6"/>
    <col min="16384" max="16384" width="11.42578125" style="6" bestFit="1" customWidth="1"/>
  </cols>
  <sheetData>
    <row r="1" spans="1:41" ht="57.75">
      <c r="A1" s="3" t="s">
        <v>0</v>
      </c>
      <c r="B1" s="3" t="s">
        <v>1</v>
      </c>
      <c r="C1" s="3" t="s">
        <v>2</v>
      </c>
      <c r="D1" s="3" t="s">
        <v>3</v>
      </c>
      <c r="E1" s="3" t="s">
        <v>4</v>
      </c>
      <c r="F1" s="3" t="s">
        <v>5</v>
      </c>
      <c r="G1" s="3" t="s">
        <v>6</v>
      </c>
      <c r="H1" s="3" t="s">
        <v>7</v>
      </c>
      <c r="I1" s="3" t="s">
        <v>8</v>
      </c>
      <c r="J1" s="4" t="s">
        <v>9</v>
      </c>
      <c r="K1" s="3"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row>
    <row r="2" spans="1:41" ht="28.5">
      <c r="A2" s="7" t="s">
        <v>41</v>
      </c>
      <c r="B2" s="5">
        <v>45673</v>
      </c>
      <c r="C2" s="17" t="str">
        <f ca="1">IF(B2="","",IF(OR(TRIM(R2)="En curso",TRIM(R2)="En proceso de ingreso"),TODAY()-B2,"Cerrada"))</f>
        <v>Cerrada</v>
      </c>
      <c r="D2" s="8" t="s">
        <v>42</v>
      </c>
      <c r="E2" s="8" t="s">
        <v>43</v>
      </c>
      <c r="F2" s="8"/>
      <c r="G2" s="8" t="s">
        <v>44</v>
      </c>
      <c r="H2" s="8"/>
      <c r="I2" s="8"/>
      <c r="J2" s="8" t="s">
        <v>45</v>
      </c>
      <c r="K2" s="8" t="s">
        <v>46</v>
      </c>
      <c r="L2" s="8" t="s">
        <v>47</v>
      </c>
      <c r="M2" s="8" t="s">
        <v>48</v>
      </c>
      <c r="N2" s="8" t="s">
        <v>49</v>
      </c>
      <c r="O2" s="8" t="s">
        <v>50</v>
      </c>
      <c r="P2" s="8" t="s">
        <v>51</v>
      </c>
      <c r="Q2" s="8"/>
      <c r="R2" s="8" t="s">
        <v>52</v>
      </c>
      <c r="S2" s="8" t="s">
        <v>53</v>
      </c>
      <c r="T2" s="8"/>
      <c r="U2" s="8"/>
      <c r="V2" s="8"/>
      <c r="W2" s="8" t="s">
        <v>54</v>
      </c>
      <c r="X2" s="8"/>
      <c r="Y2" s="8" t="s">
        <v>55</v>
      </c>
      <c r="Z2" s="8"/>
      <c r="AA2" s="8" t="s">
        <v>56</v>
      </c>
      <c r="AB2" s="8"/>
      <c r="AC2" s="8"/>
      <c r="AD2" s="8" t="s">
        <v>57</v>
      </c>
      <c r="AE2" s="8" t="s">
        <v>58</v>
      </c>
      <c r="AF2" s="5">
        <v>46057</v>
      </c>
      <c r="AG2" s="5">
        <v>46063</v>
      </c>
      <c r="AH2" s="5"/>
      <c r="AI2" s="8"/>
      <c r="AJ2" s="8" t="s">
        <v>59</v>
      </c>
      <c r="AK2" s="8" t="s">
        <v>60</v>
      </c>
      <c r="AL2" s="8" t="s">
        <v>61</v>
      </c>
      <c r="AM2" s="8" t="s">
        <v>44</v>
      </c>
      <c r="AN2" s="8" t="s">
        <v>44</v>
      </c>
      <c r="AO2" s="8"/>
    </row>
    <row r="3" spans="1:41">
      <c r="A3" s="7" t="s">
        <v>62</v>
      </c>
      <c r="B3" s="5">
        <v>45678</v>
      </c>
      <c r="C3" s="17" t="str">
        <f ca="1">IF(B3="","",IF(OR(TRIM(R3)="En curso",TRIM(R3)="En proceso de ingreso"),TODAY()-B3,"Cerrada"))</f>
        <v>Cerrada</v>
      </c>
      <c r="D3" s="8" t="s">
        <v>42</v>
      </c>
      <c r="E3" s="8" t="s">
        <v>43</v>
      </c>
      <c r="F3" s="8"/>
      <c r="G3" s="8"/>
      <c r="H3" s="8"/>
      <c r="I3" s="8"/>
      <c r="J3" s="8" t="s">
        <v>45</v>
      </c>
      <c r="K3" s="8"/>
      <c r="L3" s="8" t="s">
        <v>47</v>
      </c>
      <c r="M3" s="8" t="s">
        <v>48</v>
      </c>
      <c r="N3" s="8" t="s">
        <v>49</v>
      </c>
      <c r="O3" s="8" t="s">
        <v>50</v>
      </c>
      <c r="P3" s="8" t="s">
        <v>51</v>
      </c>
      <c r="Q3" s="8"/>
      <c r="R3" s="8" t="s">
        <v>52</v>
      </c>
      <c r="S3" s="8" t="s">
        <v>53</v>
      </c>
      <c r="T3" s="8"/>
      <c r="U3" s="8"/>
      <c r="V3" s="8"/>
      <c r="W3" s="8" t="s">
        <v>63</v>
      </c>
      <c r="X3" s="8"/>
      <c r="Y3" s="8"/>
      <c r="Z3" s="8"/>
      <c r="AA3" s="8" t="s">
        <v>56</v>
      </c>
      <c r="AB3" s="8"/>
      <c r="AC3" s="8"/>
      <c r="AD3" s="8"/>
      <c r="AE3" s="8"/>
      <c r="AF3" s="5">
        <v>46064</v>
      </c>
      <c r="AG3" s="5">
        <v>46071</v>
      </c>
      <c r="AH3" s="5"/>
      <c r="AI3" s="8"/>
      <c r="AJ3" s="8" t="s">
        <v>64</v>
      </c>
      <c r="AK3" s="8"/>
      <c r="AL3" s="8"/>
      <c r="AM3" s="8"/>
      <c r="AN3" s="8"/>
      <c r="AO3" s="8"/>
    </row>
    <row r="4" spans="1:41">
      <c r="A4" s="7" t="s">
        <v>65</v>
      </c>
      <c r="B4" s="5">
        <v>45678</v>
      </c>
      <c r="C4" s="17" t="str">
        <f ca="1">IF(B4="","",IF(OR(TRIM(R4)="En curso",TRIM(R4)="En proceso de ingreso"),TODAY()-B4,"Cerrada"))</f>
        <v>Cerrada</v>
      </c>
      <c r="D4" s="8" t="s">
        <v>42</v>
      </c>
      <c r="E4" s="8" t="s">
        <v>43</v>
      </c>
      <c r="F4" s="8"/>
      <c r="G4" s="8"/>
      <c r="H4" s="8"/>
      <c r="I4" s="8"/>
      <c r="J4" s="8" t="s">
        <v>45</v>
      </c>
      <c r="K4" s="8"/>
      <c r="L4" s="8" t="s">
        <v>47</v>
      </c>
      <c r="M4" s="8" t="s">
        <v>48</v>
      </c>
      <c r="N4" s="8" t="s">
        <v>49</v>
      </c>
      <c r="O4" s="8" t="s">
        <v>50</v>
      </c>
      <c r="P4" s="8" t="s">
        <v>51</v>
      </c>
      <c r="Q4" s="8"/>
      <c r="R4" s="8" t="s">
        <v>52</v>
      </c>
      <c r="S4" s="8" t="s">
        <v>53</v>
      </c>
      <c r="T4" s="8"/>
      <c r="U4" s="8"/>
      <c r="V4" s="8"/>
      <c r="W4" s="8" t="s">
        <v>63</v>
      </c>
      <c r="X4" s="8"/>
      <c r="Y4" s="8"/>
      <c r="Z4" s="8"/>
      <c r="AA4" s="8" t="s">
        <v>56</v>
      </c>
      <c r="AB4" s="8"/>
      <c r="AC4" s="8"/>
      <c r="AD4" s="8"/>
      <c r="AE4" s="8"/>
      <c r="AF4" s="5">
        <v>46064</v>
      </c>
      <c r="AG4" s="5">
        <v>46071</v>
      </c>
      <c r="AH4" s="5"/>
      <c r="AI4" s="8"/>
      <c r="AJ4" s="8" t="s">
        <v>66</v>
      </c>
      <c r="AK4" s="8"/>
      <c r="AL4" s="8"/>
      <c r="AM4" s="8"/>
      <c r="AN4" s="8"/>
      <c r="AO4" s="8"/>
    </row>
    <row r="5" spans="1:41" ht="28.5">
      <c r="A5" s="7" t="s">
        <v>67</v>
      </c>
      <c r="B5" s="5">
        <v>45678</v>
      </c>
      <c r="C5" s="17" t="str">
        <f ca="1">IF(B5="","",IF(OR(TRIM(R5)="En curso",TRIM(R5)="En proceso de ingreso"),TODAY()-B5,"Cerrada"))</f>
        <v>Cerrada</v>
      </c>
      <c r="D5" s="8" t="s">
        <v>42</v>
      </c>
      <c r="E5" s="8" t="s">
        <v>43</v>
      </c>
      <c r="F5" s="8"/>
      <c r="G5" s="8" t="s">
        <v>44</v>
      </c>
      <c r="H5" s="8"/>
      <c r="I5" s="8"/>
      <c r="J5" s="8" t="s">
        <v>45</v>
      </c>
      <c r="K5" s="8" t="s">
        <v>46</v>
      </c>
      <c r="L5" s="8" t="s">
        <v>47</v>
      </c>
      <c r="M5" s="8" t="s">
        <v>48</v>
      </c>
      <c r="N5" s="8" t="s">
        <v>49</v>
      </c>
      <c r="O5" s="8" t="s">
        <v>50</v>
      </c>
      <c r="P5" s="8" t="s">
        <v>51</v>
      </c>
      <c r="Q5" s="8" t="s">
        <v>68</v>
      </c>
      <c r="R5" s="8" t="s">
        <v>52</v>
      </c>
      <c r="S5" s="8" t="s">
        <v>53</v>
      </c>
      <c r="T5" s="5">
        <v>46100</v>
      </c>
      <c r="U5" s="8" t="s">
        <v>69</v>
      </c>
      <c r="V5" s="8" t="s">
        <v>70</v>
      </c>
      <c r="W5" s="8" t="s">
        <v>63</v>
      </c>
      <c r="X5" s="8"/>
      <c r="Y5" s="8"/>
      <c r="Z5" s="8"/>
      <c r="AA5" s="8" t="s">
        <v>56</v>
      </c>
      <c r="AB5" s="8"/>
      <c r="AC5" s="8"/>
      <c r="AD5" s="8" t="s">
        <v>71</v>
      </c>
      <c r="AE5" s="8" t="s">
        <v>72</v>
      </c>
      <c r="AF5" s="5">
        <v>46094</v>
      </c>
      <c r="AG5" s="5">
        <v>46100</v>
      </c>
      <c r="AH5" s="5" t="s">
        <v>73</v>
      </c>
      <c r="AI5" s="8" t="s">
        <v>74</v>
      </c>
      <c r="AJ5" s="8" t="s">
        <v>75</v>
      </c>
      <c r="AK5" s="8" t="s">
        <v>76</v>
      </c>
      <c r="AL5" s="8" t="s">
        <v>61</v>
      </c>
      <c r="AM5" s="8" t="s">
        <v>77</v>
      </c>
      <c r="AN5" s="8" t="s">
        <v>44</v>
      </c>
      <c r="AO5" s="8"/>
    </row>
    <row r="6" spans="1:41" ht="28.5">
      <c r="A6" s="7" t="s">
        <v>78</v>
      </c>
      <c r="B6" s="5">
        <v>45678</v>
      </c>
      <c r="C6" s="17" t="str">
        <f ca="1">IF(B6="","",IF(OR(TRIM(R6)="En curso",TRIM(R6)="En proceso de ingreso"),TODAY()-B6,"Cerrada"))</f>
        <v>Cerrada</v>
      </c>
      <c r="D6" s="8" t="s">
        <v>42</v>
      </c>
      <c r="E6" s="8" t="s">
        <v>43</v>
      </c>
      <c r="F6" s="8"/>
      <c r="G6" s="8" t="s">
        <v>44</v>
      </c>
      <c r="H6" s="8"/>
      <c r="I6" s="8"/>
      <c r="J6" s="8" t="s">
        <v>45</v>
      </c>
      <c r="K6" s="8" t="s">
        <v>46</v>
      </c>
      <c r="L6" s="8" t="s">
        <v>47</v>
      </c>
      <c r="M6" s="8" t="s">
        <v>48</v>
      </c>
      <c r="N6" s="8" t="s">
        <v>49</v>
      </c>
      <c r="O6" s="8" t="s">
        <v>50</v>
      </c>
      <c r="P6" s="8" t="s">
        <v>51</v>
      </c>
      <c r="Q6" s="8" t="s">
        <v>68</v>
      </c>
      <c r="R6" s="8" t="s">
        <v>52</v>
      </c>
      <c r="S6" s="8" t="s">
        <v>53</v>
      </c>
      <c r="T6" s="5">
        <v>46100</v>
      </c>
      <c r="U6" s="8" t="s">
        <v>69</v>
      </c>
      <c r="V6" s="8" t="s">
        <v>70</v>
      </c>
      <c r="W6" s="8" t="s">
        <v>63</v>
      </c>
      <c r="X6" s="8"/>
      <c r="Y6" s="8"/>
      <c r="Z6" s="8"/>
      <c r="AA6" s="8" t="s">
        <v>56</v>
      </c>
      <c r="AB6" s="8"/>
      <c r="AC6" s="8"/>
      <c r="AD6" s="8" t="s">
        <v>71</v>
      </c>
      <c r="AE6" s="8" t="s">
        <v>72</v>
      </c>
      <c r="AF6" s="5">
        <v>46094</v>
      </c>
      <c r="AG6" s="5">
        <v>46100</v>
      </c>
      <c r="AH6" s="5" t="s">
        <v>73</v>
      </c>
      <c r="AI6" s="8" t="s">
        <v>74</v>
      </c>
      <c r="AJ6" s="8" t="s">
        <v>79</v>
      </c>
      <c r="AK6" s="8" t="s">
        <v>76</v>
      </c>
      <c r="AL6" s="8" t="s">
        <v>61</v>
      </c>
      <c r="AM6" s="8" t="s">
        <v>77</v>
      </c>
      <c r="AN6" s="8" t="s">
        <v>44</v>
      </c>
      <c r="AO6" s="8"/>
    </row>
    <row r="7" spans="1:41" ht="28.5">
      <c r="A7" s="7" t="s">
        <v>80</v>
      </c>
      <c r="B7" s="5">
        <v>45678</v>
      </c>
      <c r="C7" s="17" t="str">
        <f ca="1">IF(B7="","",IF(OR(TRIM(R7)="En curso",TRIM(R7)="En proceso de ingreso"),TODAY()-B7,"Cerrada"))</f>
        <v>Cerrada</v>
      </c>
      <c r="D7" s="8" t="s">
        <v>42</v>
      </c>
      <c r="E7" s="8" t="s">
        <v>43</v>
      </c>
      <c r="F7" s="8"/>
      <c r="G7" s="8" t="s">
        <v>44</v>
      </c>
      <c r="H7" s="8"/>
      <c r="I7" s="8"/>
      <c r="J7" s="8" t="s">
        <v>45</v>
      </c>
      <c r="K7" s="8" t="s">
        <v>46</v>
      </c>
      <c r="L7" s="8" t="s">
        <v>47</v>
      </c>
      <c r="M7" s="8" t="s">
        <v>48</v>
      </c>
      <c r="N7" s="8" t="s">
        <v>49</v>
      </c>
      <c r="O7" s="8" t="s">
        <v>50</v>
      </c>
      <c r="P7" s="8" t="s">
        <v>51</v>
      </c>
      <c r="Q7" s="8" t="s">
        <v>68</v>
      </c>
      <c r="R7" s="8" t="s">
        <v>52</v>
      </c>
      <c r="S7" s="8" t="s">
        <v>53</v>
      </c>
      <c r="T7" s="5">
        <v>46100</v>
      </c>
      <c r="U7" s="8" t="s">
        <v>69</v>
      </c>
      <c r="V7" s="8" t="s">
        <v>70</v>
      </c>
      <c r="W7" s="8" t="s">
        <v>63</v>
      </c>
      <c r="X7" s="8"/>
      <c r="Y7" s="8"/>
      <c r="Z7" s="8"/>
      <c r="AA7" s="8" t="s">
        <v>56</v>
      </c>
      <c r="AB7" s="8"/>
      <c r="AC7" s="8"/>
      <c r="AD7" s="8" t="s">
        <v>71</v>
      </c>
      <c r="AE7" s="8" t="s">
        <v>72</v>
      </c>
      <c r="AF7" s="5">
        <v>46094</v>
      </c>
      <c r="AG7" s="5">
        <v>46100</v>
      </c>
      <c r="AH7" s="5" t="s">
        <v>73</v>
      </c>
      <c r="AI7" s="8" t="s">
        <v>74</v>
      </c>
      <c r="AJ7" s="8" t="s">
        <v>81</v>
      </c>
      <c r="AK7" s="8" t="s">
        <v>76</v>
      </c>
      <c r="AL7" s="8" t="s">
        <v>61</v>
      </c>
      <c r="AM7" s="8" t="s">
        <v>77</v>
      </c>
      <c r="AN7" s="8" t="s">
        <v>44</v>
      </c>
      <c r="AO7" s="8"/>
    </row>
    <row r="8" spans="1:41" ht="28.5">
      <c r="A8" s="7" t="s">
        <v>82</v>
      </c>
      <c r="B8" s="5">
        <v>45678</v>
      </c>
      <c r="C8" s="17" t="str">
        <f ca="1">IF(B8="","",IF(OR(TRIM(R8)="En curso",TRIM(R8)="En proceso de ingreso"),TODAY()-B8,"Cerrada"))</f>
        <v>Cerrada</v>
      </c>
      <c r="D8" s="8" t="s">
        <v>42</v>
      </c>
      <c r="E8" s="8" t="s">
        <v>43</v>
      </c>
      <c r="F8" s="8"/>
      <c r="G8" s="8" t="s">
        <v>44</v>
      </c>
      <c r="H8" s="8"/>
      <c r="I8" s="8"/>
      <c r="J8" s="8" t="s">
        <v>45</v>
      </c>
      <c r="K8" s="8" t="s">
        <v>46</v>
      </c>
      <c r="L8" s="8" t="s">
        <v>47</v>
      </c>
      <c r="M8" s="8" t="s">
        <v>48</v>
      </c>
      <c r="N8" s="8" t="s">
        <v>49</v>
      </c>
      <c r="O8" s="8" t="s">
        <v>50</v>
      </c>
      <c r="P8" s="8" t="s">
        <v>51</v>
      </c>
      <c r="Q8" s="8" t="s">
        <v>83</v>
      </c>
      <c r="R8" s="8" t="s">
        <v>52</v>
      </c>
      <c r="S8" s="8" t="s">
        <v>53</v>
      </c>
      <c r="T8" s="5">
        <v>46100</v>
      </c>
      <c r="U8" s="8" t="s">
        <v>69</v>
      </c>
      <c r="V8" s="8" t="s">
        <v>70</v>
      </c>
      <c r="W8" s="8" t="s">
        <v>63</v>
      </c>
      <c r="X8" s="8"/>
      <c r="Y8" s="8"/>
      <c r="Z8" s="8"/>
      <c r="AA8" s="8" t="s">
        <v>56</v>
      </c>
      <c r="AB8" s="8"/>
      <c r="AC8" s="8"/>
      <c r="AD8" s="8" t="s">
        <v>71</v>
      </c>
      <c r="AE8" s="8" t="s">
        <v>84</v>
      </c>
      <c r="AF8" s="5">
        <v>46094</v>
      </c>
      <c r="AG8" s="5">
        <v>46100</v>
      </c>
      <c r="AH8" s="5" t="s">
        <v>73</v>
      </c>
      <c r="AI8" s="8" t="s">
        <v>74</v>
      </c>
      <c r="AJ8" s="8" t="s">
        <v>85</v>
      </c>
      <c r="AK8" s="8" t="s">
        <v>76</v>
      </c>
      <c r="AL8" s="8" t="s">
        <v>61</v>
      </c>
      <c r="AM8" s="8" t="s">
        <v>77</v>
      </c>
      <c r="AN8" s="8" t="s">
        <v>44</v>
      </c>
      <c r="AO8" s="8"/>
    </row>
    <row r="9" spans="1:41" ht="28.5">
      <c r="A9" s="7" t="s">
        <v>86</v>
      </c>
      <c r="B9" s="5">
        <v>45678</v>
      </c>
      <c r="C9" s="17" t="str">
        <f ca="1">IF(B9="","",IF(OR(TRIM(R9)="En curso",TRIM(R9)="En proceso de ingreso"),TODAY()-B9,"Cerrada"))</f>
        <v>Cerrada</v>
      </c>
      <c r="D9" s="8" t="s">
        <v>42</v>
      </c>
      <c r="E9" s="8" t="s">
        <v>43</v>
      </c>
      <c r="F9" s="8"/>
      <c r="G9" s="8" t="s">
        <v>44</v>
      </c>
      <c r="H9" s="8"/>
      <c r="I9" s="8"/>
      <c r="J9" s="8" t="s">
        <v>45</v>
      </c>
      <c r="K9" s="8" t="s">
        <v>46</v>
      </c>
      <c r="L9" s="8" t="s">
        <v>47</v>
      </c>
      <c r="M9" s="8" t="s">
        <v>48</v>
      </c>
      <c r="N9" s="8" t="s">
        <v>49</v>
      </c>
      <c r="O9" s="8" t="s">
        <v>50</v>
      </c>
      <c r="P9" s="8" t="s">
        <v>51</v>
      </c>
      <c r="Q9" s="8" t="s">
        <v>83</v>
      </c>
      <c r="R9" s="8" t="s">
        <v>52</v>
      </c>
      <c r="S9" s="8" t="s">
        <v>53</v>
      </c>
      <c r="T9" s="5">
        <v>46100</v>
      </c>
      <c r="U9" s="8" t="s">
        <v>69</v>
      </c>
      <c r="V9" s="8"/>
      <c r="W9" s="8" t="s">
        <v>63</v>
      </c>
      <c r="X9" s="8"/>
      <c r="Y9" s="8"/>
      <c r="Z9" s="8"/>
      <c r="AA9" s="8" t="s">
        <v>56</v>
      </c>
      <c r="AB9" s="8"/>
      <c r="AC9" s="8"/>
      <c r="AD9" s="8" t="s">
        <v>71</v>
      </c>
      <c r="AE9" s="8" t="s">
        <v>84</v>
      </c>
      <c r="AF9" s="5">
        <v>46094</v>
      </c>
      <c r="AG9" s="5">
        <v>46100</v>
      </c>
      <c r="AH9" s="5" t="s">
        <v>73</v>
      </c>
      <c r="AI9" s="8" t="s">
        <v>74</v>
      </c>
      <c r="AJ9" s="8" t="s">
        <v>87</v>
      </c>
      <c r="AK9" s="8" t="s">
        <v>76</v>
      </c>
      <c r="AL9" s="8" t="s">
        <v>61</v>
      </c>
      <c r="AM9" s="8" t="s">
        <v>77</v>
      </c>
      <c r="AN9" s="8" t="s">
        <v>44</v>
      </c>
      <c r="AO9" s="8"/>
    </row>
    <row r="10" spans="1:41" ht="28.5">
      <c r="A10" s="7" t="s">
        <v>88</v>
      </c>
      <c r="B10" s="5">
        <v>45678</v>
      </c>
      <c r="C10" s="17" t="str">
        <f ca="1">IF(B10="","",IF(OR(TRIM(R10)="En curso",TRIM(R10)="En proceso de ingreso"),TODAY()-B10,"Cerrada"))</f>
        <v>Cerrada</v>
      </c>
      <c r="D10" s="8" t="s">
        <v>42</v>
      </c>
      <c r="E10" s="8" t="s">
        <v>43</v>
      </c>
      <c r="F10" s="8"/>
      <c r="G10" s="8" t="s">
        <v>44</v>
      </c>
      <c r="H10" s="8"/>
      <c r="I10" s="8"/>
      <c r="J10" s="8" t="s">
        <v>45</v>
      </c>
      <c r="K10" s="8" t="s">
        <v>46</v>
      </c>
      <c r="L10" s="8" t="s">
        <v>47</v>
      </c>
      <c r="M10" s="8" t="s">
        <v>48</v>
      </c>
      <c r="N10" s="8" t="s">
        <v>49</v>
      </c>
      <c r="O10" s="8" t="s">
        <v>50</v>
      </c>
      <c r="P10" s="8" t="s">
        <v>51</v>
      </c>
      <c r="Q10" s="8" t="s">
        <v>83</v>
      </c>
      <c r="R10" s="8" t="s">
        <v>52</v>
      </c>
      <c r="S10" s="8" t="s">
        <v>53</v>
      </c>
      <c r="T10" s="5">
        <v>46100</v>
      </c>
      <c r="U10" s="8" t="s">
        <v>69</v>
      </c>
      <c r="V10" s="8"/>
      <c r="W10" s="8" t="s">
        <v>63</v>
      </c>
      <c r="X10" s="8"/>
      <c r="Y10" s="8"/>
      <c r="Z10" s="8"/>
      <c r="AA10" s="8" t="s">
        <v>56</v>
      </c>
      <c r="AB10" s="8"/>
      <c r="AC10" s="8"/>
      <c r="AD10" s="8" t="s">
        <v>71</v>
      </c>
      <c r="AE10" s="8" t="s">
        <v>84</v>
      </c>
      <c r="AF10" s="5">
        <v>46094</v>
      </c>
      <c r="AG10" s="5">
        <v>46100</v>
      </c>
      <c r="AH10" s="5" t="s">
        <v>73</v>
      </c>
      <c r="AI10" s="8" t="s">
        <v>74</v>
      </c>
      <c r="AJ10" s="8" t="s">
        <v>89</v>
      </c>
      <c r="AK10" s="8" t="s">
        <v>76</v>
      </c>
      <c r="AL10" s="8" t="s">
        <v>61</v>
      </c>
      <c r="AM10" s="8" t="s">
        <v>77</v>
      </c>
      <c r="AN10" s="8" t="s">
        <v>44</v>
      </c>
      <c r="AO10" s="8"/>
    </row>
    <row r="11" spans="1:41" ht="28.5">
      <c r="A11" s="7" t="s">
        <v>90</v>
      </c>
      <c r="B11" s="5">
        <v>45678</v>
      </c>
      <c r="C11" s="17" t="str">
        <f ca="1">IF(B11="","",IF(OR(TRIM(R11)="En curso",TRIM(R11)="En proceso de ingreso"),TODAY()-B11,"Cerrada"))</f>
        <v>Cerrada</v>
      </c>
      <c r="D11" s="8" t="s">
        <v>42</v>
      </c>
      <c r="E11" s="8" t="s">
        <v>43</v>
      </c>
      <c r="F11" s="8"/>
      <c r="G11" s="8"/>
      <c r="H11" s="8"/>
      <c r="I11" s="8"/>
      <c r="J11" s="8" t="s">
        <v>45</v>
      </c>
      <c r="K11" s="8" t="s">
        <v>91</v>
      </c>
      <c r="L11" s="8" t="s">
        <v>47</v>
      </c>
      <c r="M11" s="8" t="s">
        <v>48</v>
      </c>
      <c r="N11" s="8" t="s">
        <v>49</v>
      </c>
      <c r="O11" s="8" t="s">
        <v>50</v>
      </c>
      <c r="P11" s="8" t="s">
        <v>51</v>
      </c>
      <c r="Q11" s="8" t="s">
        <v>92</v>
      </c>
      <c r="R11" s="8" t="s">
        <v>52</v>
      </c>
      <c r="S11" s="8" t="s">
        <v>53</v>
      </c>
      <c r="T11" s="5">
        <v>46100</v>
      </c>
      <c r="U11" s="8" t="s">
        <v>69</v>
      </c>
      <c r="V11" s="8"/>
      <c r="W11" s="8" t="s">
        <v>63</v>
      </c>
      <c r="X11" s="8"/>
      <c r="Y11" s="8"/>
      <c r="Z11" s="8"/>
      <c r="AA11" s="8" t="s">
        <v>56</v>
      </c>
      <c r="AB11" s="8"/>
      <c r="AC11" s="8"/>
      <c r="AD11" s="8" t="s">
        <v>93</v>
      </c>
      <c r="AE11" s="8" t="s">
        <v>94</v>
      </c>
      <c r="AF11" s="5">
        <v>46097</v>
      </c>
      <c r="AG11" s="5">
        <v>46100</v>
      </c>
      <c r="AH11" s="5" t="s">
        <v>73</v>
      </c>
      <c r="AI11" s="8" t="s">
        <v>74</v>
      </c>
      <c r="AJ11" s="8" t="s">
        <v>95</v>
      </c>
      <c r="AK11" s="8" t="s">
        <v>96</v>
      </c>
      <c r="AL11" s="8" t="s">
        <v>97</v>
      </c>
      <c r="AM11" s="8" t="s">
        <v>77</v>
      </c>
      <c r="AN11" s="8" t="s">
        <v>44</v>
      </c>
      <c r="AO11" s="8"/>
    </row>
    <row r="12" spans="1:41" ht="28.5">
      <c r="A12" s="7" t="s">
        <v>98</v>
      </c>
      <c r="B12" s="5">
        <v>45678</v>
      </c>
      <c r="C12" s="17" t="str">
        <f ca="1">IF(B12="","",IF(OR(TRIM(R12)="En curso",TRIM(R12)="En proceso de ingreso"),TODAY()-B12,"Cerrada"))</f>
        <v>Cerrada</v>
      </c>
      <c r="D12" s="8" t="s">
        <v>42</v>
      </c>
      <c r="E12" s="8" t="s">
        <v>43</v>
      </c>
      <c r="F12" s="8"/>
      <c r="G12" s="8"/>
      <c r="H12" s="8"/>
      <c r="I12" s="8"/>
      <c r="J12" s="8" t="s">
        <v>45</v>
      </c>
      <c r="K12" s="8" t="s">
        <v>91</v>
      </c>
      <c r="L12" s="8" t="s">
        <v>47</v>
      </c>
      <c r="M12" s="8" t="s">
        <v>48</v>
      </c>
      <c r="N12" s="8" t="s">
        <v>49</v>
      </c>
      <c r="O12" s="8" t="s">
        <v>50</v>
      </c>
      <c r="P12" s="8" t="s">
        <v>51</v>
      </c>
      <c r="Q12" s="8" t="s">
        <v>92</v>
      </c>
      <c r="R12" s="8" t="s">
        <v>52</v>
      </c>
      <c r="S12" s="8" t="s">
        <v>53</v>
      </c>
      <c r="T12" s="5">
        <v>46100</v>
      </c>
      <c r="U12" s="8" t="s">
        <v>69</v>
      </c>
      <c r="V12" s="8"/>
      <c r="W12" s="8" t="s">
        <v>63</v>
      </c>
      <c r="X12" s="8"/>
      <c r="Y12" s="8"/>
      <c r="Z12" s="8"/>
      <c r="AA12" s="8" t="s">
        <v>56</v>
      </c>
      <c r="AB12" s="8"/>
      <c r="AC12" s="8"/>
      <c r="AD12" s="8" t="s">
        <v>93</v>
      </c>
      <c r="AE12" s="8" t="s">
        <v>94</v>
      </c>
      <c r="AF12" s="5">
        <v>46097</v>
      </c>
      <c r="AG12" s="5">
        <v>46100</v>
      </c>
      <c r="AH12" s="5" t="s">
        <v>73</v>
      </c>
      <c r="AI12" s="8" t="s">
        <v>74</v>
      </c>
      <c r="AJ12" s="8" t="s">
        <v>99</v>
      </c>
      <c r="AK12" s="8" t="s">
        <v>96</v>
      </c>
      <c r="AL12" s="8" t="s">
        <v>97</v>
      </c>
      <c r="AM12" s="8" t="s">
        <v>77</v>
      </c>
      <c r="AN12" s="8" t="s">
        <v>44</v>
      </c>
      <c r="AO12" s="8"/>
    </row>
    <row r="13" spans="1:41" ht="28.5">
      <c r="A13" s="7" t="s">
        <v>100</v>
      </c>
      <c r="B13" s="5">
        <v>45678</v>
      </c>
      <c r="C13" s="17" t="str">
        <f ca="1">IF(B13="","",IF(OR(TRIM(R13)="En curso",TRIM(R13)="En proceso de ingreso"),TODAY()-B13,"Cerrada"))</f>
        <v>Cerrada</v>
      </c>
      <c r="D13" s="8" t="s">
        <v>42</v>
      </c>
      <c r="E13" s="8" t="s">
        <v>43</v>
      </c>
      <c r="F13" s="8"/>
      <c r="G13" s="8"/>
      <c r="H13" s="8"/>
      <c r="I13" s="8"/>
      <c r="J13" s="8" t="s">
        <v>45</v>
      </c>
      <c r="K13" s="8" t="s">
        <v>91</v>
      </c>
      <c r="L13" s="8" t="s">
        <v>47</v>
      </c>
      <c r="M13" s="8" t="s">
        <v>48</v>
      </c>
      <c r="N13" s="8" t="s">
        <v>49</v>
      </c>
      <c r="O13" s="8" t="s">
        <v>50</v>
      </c>
      <c r="P13" s="8" t="s">
        <v>51</v>
      </c>
      <c r="Q13" s="8" t="s">
        <v>101</v>
      </c>
      <c r="R13" s="8" t="s">
        <v>52</v>
      </c>
      <c r="S13" s="8" t="s">
        <v>53</v>
      </c>
      <c r="T13" s="5">
        <v>46100</v>
      </c>
      <c r="U13" s="8" t="s">
        <v>69</v>
      </c>
      <c r="V13" s="8"/>
      <c r="W13" s="8" t="s">
        <v>63</v>
      </c>
      <c r="X13" s="8"/>
      <c r="Y13" s="8"/>
      <c r="Z13" s="8"/>
      <c r="AA13" s="8" t="s">
        <v>56</v>
      </c>
      <c r="AB13" s="8"/>
      <c r="AC13" s="8"/>
      <c r="AD13" s="8" t="s">
        <v>93</v>
      </c>
      <c r="AE13" s="8" t="s">
        <v>94</v>
      </c>
      <c r="AF13" s="5">
        <v>46097</v>
      </c>
      <c r="AG13" s="5">
        <v>46100</v>
      </c>
      <c r="AH13" s="5" t="s">
        <v>73</v>
      </c>
      <c r="AI13" s="8" t="s">
        <v>74</v>
      </c>
      <c r="AJ13" s="8" t="s">
        <v>102</v>
      </c>
      <c r="AK13" s="8" t="s">
        <v>96</v>
      </c>
      <c r="AL13" s="8" t="s">
        <v>97</v>
      </c>
      <c r="AM13" s="8" t="s">
        <v>77</v>
      </c>
      <c r="AN13" s="8" t="s">
        <v>44</v>
      </c>
      <c r="AO13" s="8"/>
    </row>
    <row r="14" spans="1:41" ht="43.5">
      <c r="A14" s="7" t="s">
        <v>103</v>
      </c>
      <c r="B14" s="5">
        <v>45818</v>
      </c>
      <c r="C14" s="17" t="str">
        <f ca="1">IF(B14="","",IF(OR(TRIM(R14)="En curso",TRIM(R14)="En proceso de ingreso"),TODAY()-B14,"Cerrada"))</f>
        <v>Cerrada</v>
      </c>
      <c r="D14" s="8" t="s">
        <v>104</v>
      </c>
      <c r="E14" s="8" t="s">
        <v>43</v>
      </c>
      <c r="F14" s="8"/>
      <c r="G14" s="8"/>
      <c r="H14" s="8"/>
      <c r="I14" s="8"/>
      <c r="J14" s="8" t="s">
        <v>105</v>
      </c>
      <c r="K14" s="8" t="s">
        <v>106</v>
      </c>
      <c r="L14" s="8" t="s">
        <v>107</v>
      </c>
      <c r="M14" s="8" t="s">
        <v>48</v>
      </c>
      <c r="N14" s="8" t="s">
        <v>108</v>
      </c>
      <c r="O14" s="8" t="s">
        <v>109</v>
      </c>
      <c r="P14" s="8" t="s">
        <v>110</v>
      </c>
      <c r="Q14" s="8"/>
      <c r="R14" s="8" t="s">
        <v>52</v>
      </c>
      <c r="S14" s="8" t="s">
        <v>53</v>
      </c>
      <c r="T14" s="8"/>
      <c r="U14" s="8"/>
      <c r="V14" s="8"/>
      <c r="W14" s="8" t="s">
        <v>54</v>
      </c>
      <c r="X14" s="8"/>
      <c r="Y14" s="8" t="s">
        <v>111</v>
      </c>
      <c r="Z14" s="8"/>
      <c r="AA14" s="8" t="s">
        <v>56</v>
      </c>
      <c r="AB14" s="8"/>
      <c r="AC14" s="8"/>
      <c r="AD14" s="8" t="s">
        <v>112</v>
      </c>
      <c r="AE14" s="8" t="s">
        <v>113</v>
      </c>
      <c r="AF14" s="8"/>
      <c r="AG14" s="5">
        <v>46076</v>
      </c>
      <c r="AH14" s="5"/>
      <c r="AI14" s="8"/>
      <c r="AJ14" s="8" t="s">
        <v>114</v>
      </c>
      <c r="AK14" s="8" t="s">
        <v>115</v>
      </c>
      <c r="AL14" s="8" t="s">
        <v>116</v>
      </c>
      <c r="AM14" s="8" t="s">
        <v>117</v>
      </c>
      <c r="AN14" s="8" t="s">
        <v>118</v>
      </c>
      <c r="AO14" s="8" t="s">
        <v>119</v>
      </c>
    </row>
    <row r="15" spans="1:41" ht="28.5">
      <c r="A15" s="7" t="s">
        <v>120</v>
      </c>
      <c r="B15" s="5">
        <v>45897</v>
      </c>
      <c r="C15" s="17" t="str">
        <f ca="1">IF(B15="","",IF(OR(TRIM(R15)="En curso",TRIM(R15)="En proceso de ingreso"),TODAY()-B15,"Cerrada"))</f>
        <v>Cerrada</v>
      </c>
      <c r="D15" s="8" t="s">
        <v>104</v>
      </c>
      <c r="E15" s="8" t="s">
        <v>43</v>
      </c>
      <c r="F15" s="8"/>
      <c r="G15" s="8"/>
      <c r="H15" s="8"/>
      <c r="I15" s="8"/>
      <c r="J15" s="8" t="s">
        <v>45</v>
      </c>
      <c r="K15" s="8" t="s">
        <v>121</v>
      </c>
      <c r="L15" s="8" t="s">
        <v>122</v>
      </c>
      <c r="M15" s="8" t="s">
        <v>123</v>
      </c>
      <c r="N15" s="8" t="s">
        <v>108</v>
      </c>
      <c r="O15" s="8" t="s">
        <v>124</v>
      </c>
      <c r="P15" s="8" t="s">
        <v>125</v>
      </c>
      <c r="Q15" s="8"/>
      <c r="R15" s="8" t="s">
        <v>52</v>
      </c>
      <c r="S15" s="8" t="s">
        <v>53</v>
      </c>
      <c r="T15" s="8"/>
      <c r="U15" s="8"/>
      <c r="V15" s="8"/>
      <c r="W15" s="8" t="s">
        <v>63</v>
      </c>
      <c r="X15" s="8"/>
      <c r="Y15" s="8"/>
      <c r="Z15" s="8"/>
      <c r="AA15" s="8" t="s">
        <v>56</v>
      </c>
      <c r="AB15" s="8"/>
      <c r="AC15" s="8"/>
      <c r="AD15" s="8" t="s">
        <v>126</v>
      </c>
      <c r="AE15" s="8" t="s">
        <v>127</v>
      </c>
      <c r="AF15" s="5">
        <v>46007</v>
      </c>
      <c r="AG15" s="5">
        <v>46024</v>
      </c>
      <c r="AH15" s="5"/>
      <c r="AI15" s="8"/>
      <c r="AJ15" s="8" t="s">
        <v>128</v>
      </c>
      <c r="AK15" s="8" t="s">
        <v>129</v>
      </c>
      <c r="AL15" s="8" t="s">
        <v>116</v>
      </c>
      <c r="AM15" s="8"/>
      <c r="AN15" s="8"/>
      <c r="AO15" s="8" t="s">
        <v>130</v>
      </c>
    </row>
    <row r="16" spans="1:41" ht="28.5" hidden="1">
      <c r="A16" s="7" t="s">
        <v>131</v>
      </c>
      <c r="B16" s="5">
        <v>45916</v>
      </c>
      <c r="C16" s="17" t="str">
        <f ca="1">IF(B16="","",IF(OR(TRIM(R16)="En curso",TRIM(R16)="En proceso de ingreso"),TODAY()-B16,"Cerrada"))</f>
        <v>Cerrada</v>
      </c>
      <c r="D16" s="8" t="s">
        <v>104</v>
      </c>
      <c r="E16" s="8" t="s">
        <v>132</v>
      </c>
      <c r="F16" s="8"/>
      <c r="G16" s="8"/>
      <c r="H16" s="8"/>
      <c r="I16" s="8"/>
      <c r="J16" s="8" t="s">
        <v>133</v>
      </c>
      <c r="K16" s="8"/>
      <c r="L16" s="8" t="s">
        <v>134</v>
      </c>
      <c r="M16" s="8" t="s">
        <v>135</v>
      </c>
      <c r="N16" s="8" t="s">
        <v>108</v>
      </c>
      <c r="O16" s="8" t="s">
        <v>136</v>
      </c>
      <c r="P16" s="8" t="s">
        <v>137</v>
      </c>
      <c r="Q16" s="8"/>
      <c r="R16" s="8" t="s">
        <v>132</v>
      </c>
      <c r="S16" s="8" t="s">
        <v>132</v>
      </c>
      <c r="T16" s="8"/>
      <c r="U16" s="8" t="s">
        <v>138</v>
      </c>
      <c r="V16" s="8" t="s">
        <v>139</v>
      </c>
      <c r="W16" s="8" t="s">
        <v>63</v>
      </c>
      <c r="X16" s="8"/>
      <c r="Y16" s="8"/>
      <c r="Z16" s="8"/>
      <c r="AA16" s="8" t="s">
        <v>56</v>
      </c>
      <c r="AB16" s="8"/>
      <c r="AC16" s="8"/>
      <c r="AD16" s="8" t="s">
        <v>140</v>
      </c>
      <c r="AE16" s="8"/>
      <c r="AF16" s="5"/>
      <c r="AG16" s="8"/>
      <c r="AH16" s="5"/>
      <c r="AI16" s="8"/>
      <c r="AJ16" s="8"/>
      <c r="AK16" s="8" t="s">
        <v>141</v>
      </c>
      <c r="AL16" s="8" t="s">
        <v>116</v>
      </c>
      <c r="AM16" s="8"/>
      <c r="AN16" s="8"/>
      <c r="AO16" s="8" t="s">
        <v>142</v>
      </c>
    </row>
    <row r="17" spans="1:41" ht="28.5">
      <c r="A17" s="7" t="s">
        <v>143</v>
      </c>
      <c r="B17" s="5">
        <v>45931</v>
      </c>
      <c r="C17" s="17" t="str">
        <f ca="1">IF(B17="","",IF(OR(TRIM(R17)="En curso",TRIM(R17)="En proceso de ingreso"),TODAY()-B17,"Cerrada"))</f>
        <v>Cerrada</v>
      </c>
      <c r="D17" s="8" t="s">
        <v>144</v>
      </c>
      <c r="E17" s="8" t="s">
        <v>43</v>
      </c>
      <c r="F17" s="8"/>
      <c r="G17" s="8"/>
      <c r="H17" s="8"/>
      <c r="I17" s="8"/>
      <c r="J17" s="8" t="s">
        <v>145</v>
      </c>
      <c r="K17" s="8" t="s">
        <v>146</v>
      </c>
      <c r="L17" s="8" t="s">
        <v>147</v>
      </c>
      <c r="M17" s="8" t="s">
        <v>148</v>
      </c>
      <c r="N17" s="8" t="s">
        <v>149</v>
      </c>
      <c r="O17" s="8" t="s">
        <v>150</v>
      </c>
      <c r="P17" s="8" t="s">
        <v>151</v>
      </c>
      <c r="Q17" s="8"/>
      <c r="R17" s="8" t="s">
        <v>52</v>
      </c>
      <c r="S17" s="8" t="s">
        <v>53</v>
      </c>
      <c r="T17" s="8"/>
      <c r="U17" s="8"/>
      <c r="V17" s="8"/>
      <c r="W17" s="8" t="s">
        <v>54</v>
      </c>
      <c r="X17" s="8"/>
      <c r="Y17" s="8"/>
      <c r="Z17" s="8"/>
      <c r="AA17" s="8" t="s">
        <v>152</v>
      </c>
      <c r="AB17" s="8"/>
      <c r="AC17" s="8"/>
      <c r="AD17" s="8" t="s">
        <v>153</v>
      </c>
      <c r="AE17" s="8" t="s">
        <v>154</v>
      </c>
      <c r="AF17" s="5">
        <v>45974</v>
      </c>
      <c r="AG17" s="5">
        <v>46028</v>
      </c>
      <c r="AH17" s="5"/>
      <c r="AI17" s="8"/>
      <c r="AJ17" s="8" t="s">
        <v>155</v>
      </c>
      <c r="AK17" s="8" t="s">
        <v>156</v>
      </c>
      <c r="AL17" s="8" t="s">
        <v>157</v>
      </c>
      <c r="AM17" s="8" t="s">
        <v>77</v>
      </c>
      <c r="AN17" s="8"/>
      <c r="AO17" s="8" t="s">
        <v>158</v>
      </c>
    </row>
    <row r="18" spans="1:41">
      <c r="A18" s="7" t="s">
        <v>159</v>
      </c>
      <c r="B18" s="5">
        <v>45943</v>
      </c>
      <c r="C18" s="17" t="str">
        <f ca="1">IF(B18="","",IF(OR(TRIM(R18)="En curso",TRIM(R18)="En proceso de ingreso"),TODAY()-B18,"Cerrada"))</f>
        <v>Cerrada</v>
      </c>
      <c r="D18" s="8" t="s">
        <v>104</v>
      </c>
      <c r="E18" s="8" t="s">
        <v>43</v>
      </c>
      <c r="F18" s="8"/>
      <c r="G18" s="8"/>
      <c r="H18" s="8"/>
      <c r="I18" s="8"/>
      <c r="J18" s="8" t="s">
        <v>145</v>
      </c>
      <c r="K18" s="8"/>
      <c r="L18" s="8" t="s">
        <v>160</v>
      </c>
      <c r="M18" s="8" t="s">
        <v>161</v>
      </c>
      <c r="N18" s="8" t="s">
        <v>108</v>
      </c>
      <c r="O18" s="8" t="s">
        <v>162</v>
      </c>
      <c r="P18" s="8" t="s">
        <v>163</v>
      </c>
      <c r="Q18" s="8"/>
      <c r="R18" s="8" t="s">
        <v>52</v>
      </c>
      <c r="S18" s="8" t="s">
        <v>53</v>
      </c>
      <c r="T18" s="8"/>
      <c r="U18" s="8"/>
      <c r="V18" s="8"/>
      <c r="W18" s="8" t="s">
        <v>54</v>
      </c>
      <c r="X18" s="8"/>
      <c r="Y18" s="8" t="s">
        <v>164</v>
      </c>
      <c r="Z18" s="8"/>
      <c r="AA18" s="8" t="s">
        <v>56</v>
      </c>
      <c r="AB18" s="8"/>
      <c r="AC18" s="8"/>
      <c r="AD18" s="8"/>
      <c r="AE18" s="8"/>
      <c r="AF18" s="8"/>
      <c r="AG18" s="5">
        <v>46027</v>
      </c>
      <c r="AH18" s="5"/>
      <c r="AI18" s="8"/>
      <c r="AJ18" s="8" t="s">
        <v>165</v>
      </c>
      <c r="AK18" s="8"/>
      <c r="AL18" s="8"/>
      <c r="AM18" s="8"/>
      <c r="AN18" s="8"/>
      <c r="AO18" s="8" t="s">
        <v>166</v>
      </c>
    </row>
    <row r="19" spans="1:41" ht="28.5">
      <c r="A19" s="7" t="s">
        <v>167</v>
      </c>
      <c r="B19" s="5">
        <v>45945</v>
      </c>
      <c r="C19" s="17" t="str">
        <f ca="1">IF(B19="","",IF(OR(TRIM(R19)="En curso",TRIM(R19)="En proceso de ingreso"),TODAY()-B19,"Cerrada"))</f>
        <v>Cerrada</v>
      </c>
      <c r="D19" s="8" t="s">
        <v>42</v>
      </c>
      <c r="E19" s="8" t="s">
        <v>43</v>
      </c>
      <c r="F19" s="8"/>
      <c r="G19" s="8"/>
      <c r="H19" s="8"/>
      <c r="I19" s="8"/>
      <c r="J19" s="8" t="s">
        <v>145</v>
      </c>
      <c r="K19" s="8" t="s">
        <v>168</v>
      </c>
      <c r="L19" s="8" t="s">
        <v>169</v>
      </c>
      <c r="M19" s="8" t="s">
        <v>161</v>
      </c>
      <c r="N19" s="8" t="s">
        <v>170</v>
      </c>
      <c r="O19" s="8" t="s">
        <v>171</v>
      </c>
      <c r="P19" s="8" t="s">
        <v>172</v>
      </c>
      <c r="Q19" s="8"/>
      <c r="R19" s="8" t="s">
        <v>52</v>
      </c>
      <c r="S19" s="8" t="s">
        <v>53</v>
      </c>
      <c r="T19" s="8"/>
      <c r="U19" s="8"/>
      <c r="V19" s="8"/>
      <c r="W19" s="8" t="s">
        <v>54</v>
      </c>
      <c r="X19" s="8"/>
      <c r="Y19" s="8"/>
      <c r="Z19" s="8"/>
      <c r="AA19" s="8" t="s">
        <v>173</v>
      </c>
      <c r="AB19" s="8"/>
      <c r="AC19" s="8"/>
      <c r="AD19" s="8" t="s">
        <v>174</v>
      </c>
      <c r="AE19" s="8" t="s">
        <v>175</v>
      </c>
      <c r="AF19" s="5">
        <v>46027</v>
      </c>
      <c r="AG19" s="5">
        <v>46034</v>
      </c>
      <c r="AH19" s="5"/>
      <c r="AI19" s="8"/>
      <c r="AJ19" s="8" t="s">
        <v>176</v>
      </c>
      <c r="AK19" s="8" t="s">
        <v>177</v>
      </c>
      <c r="AL19" s="8">
        <v>122</v>
      </c>
      <c r="AM19" s="8" t="s">
        <v>44</v>
      </c>
      <c r="AN19" s="8" t="s">
        <v>44</v>
      </c>
      <c r="AO19" s="8" t="s">
        <v>178</v>
      </c>
    </row>
    <row r="20" spans="1:41" ht="28.5">
      <c r="A20" s="7" t="s">
        <v>179</v>
      </c>
      <c r="B20" s="5">
        <v>45957</v>
      </c>
      <c r="C20" s="17" t="str">
        <f ca="1">IF(B20="","",IF(OR(TRIM(R20)="En curso",TRIM(R20)="En proceso de ingreso"),TODAY()-B20,"Cerrada"))</f>
        <v>Cerrada</v>
      </c>
      <c r="D20" s="8" t="s">
        <v>42</v>
      </c>
      <c r="E20" s="8" t="s">
        <v>43</v>
      </c>
      <c r="F20" s="8"/>
      <c r="G20" s="8"/>
      <c r="H20" s="8"/>
      <c r="I20" s="8"/>
      <c r="J20" s="8" t="s">
        <v>180</v>
      </c>
      <c r="K20" s="8" t="s">
        <v>181</v>
      </c>
      <c r="L20" s="8" t="s">
        <v>160</v>
      </c>
      <c r="M20" s="8" t="s">
        <v>161</v>
      </c>
      <c r="N20" s="8" t="s">
        <v>170</v>
      </c>
      <c r="O20" s="8" t="s">
        <v>182</v>
      </c>
      <c r="P20" s="8" t="s">
        <v>163</v>
      </c>
      <c r="Q20" s="8"/>
      <c r="R20" s="8" t="s">
        <v>52</v>
      </c>
      <c r="S20" s="8" t="s">
        <v>53</v>
      </c>
      <c r="T20" s="8"/>
      <c r="U20" s="8"/>
      <c r="V20" s="8"/>
      <c r="W20" s="8" t="s">
        <v>54</v>
      </c>
      <c r="X20" s="8"/>
      <c r="Y20" s="8" t="s">
        <v>183</v>
      </c>
      <c r="Z20" s="8"/>
      <c r="AA20" s="8" t="s">
        <v>152</v>
      </c>
      <c r="AB20" s="8"/>
      <c r="AC20" s="8"/>
      <c r="AD20" s="8" t="s">
        <v>174</v>
      </c>
      <c r="AE20" s="8" t="s">
        <v>184</v>
      </c>
      <c r="AF20" s="5">
        <v>46021</v>
      </c>
      <c r="AG20" s="5">
        <v>46034</v>
      </c>
      <c r="AH20" s="5"/>
      <c r="AI20" s="8"/>
      <c r="AJ20" s="8" t="s">
        <v>185</v>
      </c>
      <c r="AK20" s="8" t="s">
        <v>186</v>
      </c>
      <c r="AL20" s="8" t="s">
        <v>116</v>
      </c>
      <c r="AM20" s="8" t="s">
        <v>187</v>
      </c>
      <c r="AN20" s="8" t="s">
        <v>77</v>
      </c>
      <c r="AO20" s="8" t="s">
        <v>188</v>
      </c>
    </row>
    <row r="21" spans="1:41" ht="43.5">
      <c r="A21" s="7" t="s">
        <v>189</v>
      </c>
      <c r="B21" s="5">
        <v>45957</v>
      </c>
      <c r="C21" s="17" t="str">
        <f ca="1">IF(B21="","",IF(OR(TRIM(R21)="En curso",TRIM(R21)="En proceso de ingreso"),TODAY()-B21,"Cerrada"))</f>
        <v>Cerrada</v>
      </c>
      <c r="D21" s="8" t="s">
        <v>42</v>
      </c>
      <c r="E21" s="8" t="s">
        <v>43</v>
      </c>
      <c r="F21" s="8"/>
      <c r="G21" s="8"/>
      <c r="H21" s="8"/>
      <c r="I21" s="8"/>
      <c r="J21" s="8" t="s">
        <v>190</v>
      </c>
      <c r="K21" s="8" t="s">
        <v>190</v>
      </c>
      <c r="L21" s="8" t="s">
        <v>161</v>
      </c>
      <c r="M21" s="8" t="s">
        <v>161</v>
      </c>
      <c r="N21" s="8" t="s">
        <v>170</v>
      </c>
      <c r="O21" s="8" t="s">
        <v>191</v>
      </c>
      <c r="P21" s="8" t="s">
        <v>192</v>
      </c>
      <c r="Q21" s="8"/>
      <c r="R21" s="8" t="s">
        <v>52</v>
      </c>
      <c r="S21" s="8" t="s">
        <v>53</v>
      </c>
      <c r="T21" s="8"/>
      <c r="U21" s="8"/>
      <c r="V21" s="8"/>
      <c r="W21" s="8" t="s">
        <v>54</v>
      </c>
      <c r="X21" s="8"/>
      <c r="Y21" s="8" t="s">
        <v>193</v>
      </c>
      <c r="Z21" s="8"/>
      <c r="AA21" s="8" t="s">
        <v>56</v>
      </c>
      <c r="AB21" s="8"/>
      <c r="AC21" s="8"/>
      <c r="AD21" s="8" t="s">
        <v>174</v>
      </c>
      <c r="AE21" s="8" t="s">
        <v>190</v>
      </c>
      <c r="AF21" s="5">
        <v>46049</v>
      </c>
      <c r="AG21" s="5">
        <v>46056</v>
      </c>
      <c r="AH21" s="5"/>
      <c r="AI21" s="8"/>
      <c r="AJ21" s="8" t="s">
        <v>194</v>
      </c>
      <c r="AK21" s="8" t="s">
        <v>195</v>
      </c>
      <c r="AL21" s="8" t="s">
        <v>116</v>
      </c>
      <c r="AM21" s="8" t="s">
        <v>77</v>
      </c>
      <c r="AN21" s="8" t="s">
        <v>77</v>
      </c>
      <c r="AO21" s="8" t="s">
        <v>196</v>
      </c>
    </row>
    <row r="22" spans="1:41" ht="28.5">
      <c r="A22" s="7" t="s">
        <v>197</v>
      </c>
      <c r="B22" s="5">
        <v>45962</v>
      </c>
      <c r="C22" s="17" t="str">
        <f ca="1">IF(B22="","",IF(OR(TRIM(R22)="En curso",TRIM(R22)="En proceso de ingreso"),TODAY()-B22,"Cerrada"))</f>
        <v>Cerrada</v>
      </c>
      <c r="D22" s="8" t="s">
        <v>144</v>
      </c>
      <c r="E22" s="8" t="s">
        <v>43</v>
      </c>
      <c r="F22" s="8"/>
      <c r="G22" s="8"/>
      <c r="H22" s="8"/>
      <c r="I22" s="8"/>
      <c r="J22" s="8" t="s">
        <v>145</v>
      </c>
      <c r="K22" s="8" t="s">
        <v>146</v>
      </c>
      <c r="L22" s="8" t="s">
        <v>198</v>
      </c>
      <c r="M22" s="8" t="s">
        <v>199</v>
      </c>
      <c r="N22" s="8" t="s">
        <v>200</v>
      </c>
      <c r="O22" s="8" t="s">
        <v>201</v>
      </c>
      <c r="P22" s="8" t="s">
        <v>202</v>
      </c>
      <c r="Q22" s="8"/>
      <c r="R22" s="8" t="s">
        <v>52</v>
      </c>
      <c r="S22" s="8" t="s">
        <v>53</v>
      </c>
      <c r="T22" s="8"/>
      <c r="U22" s="8"/>
      <c r="V22" s="8"/>
      <c r="W22" s="8" t="s">
        <v>54</v>
      </c>
      <c r="X22" s="8"/>
      <c r="Y22" s="8" t="s">
        <v>203</v>
      </c>
      <c r="Z22" s="8"/>
      <c r="AA22" s="8" t="s">
        <v>173</v>
      </c>
      <c r="AB22" s="8"/>
      <c r="AC22" s="8"/>
      <c r="AD22" s="8" t="s">
        <v>204</v>
      </c>
      <c r="AE22" s="8" t="s">
        <v>154</v>
      </c>
      <c r="AF22" s="5">
        <v>46021</v>
      </c>
      <c r="AG22" s="5">
        <v>46028</v>
      </c>
      <c r="AH22" s="5"/>
      <c r="AI22" s="8"/>
      <c r="AJ22" s="8" t="s">
        <v>205</v>
      </c>
      <c r="AK22" s="8" t="s">
        <v>206</v>
      </c>
      <c r="AL22" s="8" t="s">
        <v>207</v>
      </c>
      <c r="AM22" s="8" t="s">
        <v>208</v>
      </c>
      <c r="AN22" s="8"/>
      <c r="AO22" s="8" t="s">
        <v>209</v>
      </c>
    </row>
    <row r="23" spans="1:41" ht="28.5">
      <c r="A23" s="7" t="s">
        <v>210</v>
      </c>
      <c r="B23" s="5">
        <v>45962</v>
      </c>
      <c r="C23" s="17" t="str">
        <f ca="1">IF(B23="","",IF(OR(TRIM(R23)="En curso",TRIM(R23)="En proceso de ingreso"),TODAY()-B23,"Cerrada"))</f>
        <v>Cerrada</v>
      </c>
      <c r="D23" s="8" t="s">
        <v>144</v>
      </c>
      <c r="E23" s="8" t="s">
        <v>43</v>
      </c>
      <c r="F23" s="8"/>
      <c r="G23" s="8"/>
      <c r="H23" s="8"/>
      <c r="I23" s="8"/>
      <c r="J23" s="8" t="s">
        <v>145</v>
      </c>
      <c r="K23" s="8" t="s">
        <v>146</v>
      </c>
      <c r="L23" s="8" t="s">
        <v>211</v>
      </c>
      <c r="M23" s="8" t="s">
        <v>212</v>
      </c>
      <c r="N23" s="8" t="s">
        <v>213</v>
      </c>
      <c r="O23" s="8" t="s">
        <v>214</v>
      </c>
      <c r="P23" s="8" t="s">
        <v>215</v>
      </c>
      <c r="Q23" s="8"/>
      <c r="R23" s="8" t="s">
        <v>52</v>
      </c>
      <c r="S23" s="8" t="s">
        <v>53</v>
      </c>
      <c r="T23" s="8"/>
      <c r="U23" s="8"/>
      <c r="V23" s="8"/>
      <c r="W23" s="8" t="s">
        <v>54</v>
      </c>
      <c r="X23" s="8"/>
      <c r="Y23" s="8" t="s">
        <v>216</v>
      </c>
      <c r="Z23" s="8"/>
      <c r="AA23" s="8" t="s">
        <v>152</v>
      </c>
      <c r="AB23" s="8"/>
      <c r="AC23" s="8"/>
      <c r="AD23" s="8" t="s">
        <v>217</v>
      </c>
      <c r="AE23" s="8" t="s">
        <v>154</v>
      </c>
      <c r="AF23" s="5">
        <v>46015</v>
      </c>
      <c r="AG23" s="5">
        <v>46028</v>
      </c>
      <c r="AH23" s="5"/>
      <c r="AI23" s="8"/>
      <c r="AJ23" s="8" t="s">
        <v>218</v>
      </c>
      <c r="AK23" s="8" t="s">
        <v>219</v>
      </c>
      <c r="AL23" s="8" t="s">
        <v>207</v>
      </c>
      <c r="AM23" s="8" t="s">
        <v>77</v>
      </c>
      <c r="AN23" s="8"/>
      <c r="AO23" s="8" t="s">
        <v>220</v>
      </c>
    </row>
    <row r="24" spans="1:41" ht="28.5">
      <c r="A24" s="7" t="s">
        <v>221</v>
      </c>
      <c r="B24" s="5">
        <v>45962</v>
      </c>
      <c r="C24" s="17" t="str">
        <f ca="1">IF(B24="","",IF(OR(TRIM(R24)="En curso",TRIM(R24)="En proceso de ingreso"),TODAY()-B24,"Cerrada"))</f>
        <v>Cerrada</v>
      </c>
      <c r="D24" s="8" t="s">
        <v>144</v>
      </c>
      <c r="E24" s="8" t="s">
        <v>43</v>
      </c>
      <c r="F24" s="8"/>
      <c r="G24" s="8"/>
      <c r="H24" s="8"/>
      <c r="I24" s="8"/>
      <c r="J24" s="8" t="s">
        <v>145</v>
      </c>
      <c r="K24" s="8" t="s">
        <v>146</v>
      </c>
      <c r="L24" s="8" t="s">
        <v>222</v>
      </c>
      <c r="M24" s="8" t="s">
        <v>212</v>
      </c>
      <c r="N24" s="8" t="s">
        <v>223</v>
      </c>
      <c r="O24" s="8" t="s">
        <v>224</v>
      </c>
      <c r="P24" s="8" t="s">
        <v>225</v>
      </c>
      <c r="Q24" s="8"/>
      <c r="R24" s="8" t="s">
        <v>52</v>
      </c>
      <c r="S24" s="8" t="s">
        <v>53</v>
      </c>
      <c r="T24" s="8"/>
      <c r="U24" s="8"/>
      <c r="V24" s="8"/>
      <c r="W24" s="8" t="s">
        <v>54</v>
      </c>
      <c r="X24" s="8"/>
      <c r="Y24" s="8" t="s">
        <v>226</v>
      </c>
      <c r="Z24" s="8"/>
      <c r="AA24" s="8" t="s">
        <v>173</v>
      </c>
      <c r="AB24" s="8"/>
      <c r="AC24" s="8"/>
      <c r="AD24" s="8" t="s">
        <v>227</v>
      </c>
      <c r="AE24" s="8" t="s">
        <v>154</v>
      </c>
      <c r="AF24" s="5">
        <v>46049</v>
      </c>
      <c r="AG24" s="5">
        <v>46055</v>
      </c>
      <c r="AH24" s="5"/>
      <c r="AI24" s="8"/>
      <c r="AJ24" s="8" t="s">
        <v>228</v>
      </c>
      <c r="AK24" s="8" t="s">
        <v>229</v>
      </c>
      <c r="AL24" s="8" t="s">
        <v>207</v>
      </c>
      <c r="AM24" s="8" t="s">
        <v>77</v>
      </c>
      <c r="AN24" s="8"/>
      <c r="AO24" s="8" t="s">
        <v>230</v>
      </c>
    </row>
    <row r="25" spans="1:41" ht="28.5">
      <c r="A25" s="7" t="s">
        <v>231</v>
      </c>
      <c r="B25" s="5">
        <v>45962</v>
      </c>
      <c r="C25" s="17" t="str">
        <f ca="1">IF(B25="","",IF(OR(TRIM(R25)="En curso",TRIM(R25)="En proceso de ingreso"),TODAY()-B25,"Cerrada"))</f>
        <v>Cerrada</v>
      </c>
      <c r="D25" s="8" t="s">
        <v>144</v>
      </c>
      <c r="E25" s="8" t="s">
        <v>43</v>
      </c>
      <c r="F25" s="8"/>
      <c r="G25" s="8"/>
      <c r="H25" s="8"/>
      <c r="I25" s="8"/>
      <c r="J25" s="8" t="s">
        <v>145</v>
      </c>
      <c r="K25" s="8" t="s">
        <v>146</v>
      </c>
      <c r="L25" s="8" t="s">
        <v>222</v>
      </c>
      <c r="M25" s="8" t="s">
        <v>212</v>
      </c>
      <c r="N25" s="8" t="s">
        <v>223</v>
      </c>
      <c r="O25" s="8" t="s">
        <v>224</v>
      </c>
      <c r="P25" s="8" t="s">
        <v>225</v>
      </c>
      <c r="Q25" s="8"/>
      <c r="R25" s="8" t="s">
        <v>52</v>
      </c>
      <c r="S25" s="8" t="s">
        <v>53</v>
      </c>
      <c r="T25" s="8"/>
      <c r="U25" s="8"/>
      <c r="V25" s="8"/>
      <c r="W25" s="8" t="s">
        <v>54</v>
      </c>
      <c r="X25" s="8"/>
      <c r="Y25" s="8" t="s">
        <v>232</v>
      </c>
      <c r="Z25" s="8"/>
      <c r="AA25" s="8" t="s">
        <v>173</v>
      </c>
      <c r="AB25" s="8"/>
      <c r="AC25" s="8"/>
      <c r="AD25" s="8" t="s">
        <v>227</v>
      </c>
      <c r="AE25" s="8" t="s">
        <v>154</v>
      </c>
      <c r="AF25" s="5">
        <v>46049</v>
      </c>
      <c r="AG25" s="5">
        <v>46055</v>
      </c>
      <c r="AH25" s="5"/>
      <c r="AI25" s="8"/>
      <c r="AJ25" s="8" t="s">
        <v>233</v>
      </c>
      <c r="AK25" s="8" t="s">
        <v>229</v>
      </c>
      <c r="AL25" s="8" t="s">
        <v>207</v>
      </c>
      <c r="AM25" s="8" t="s">
        <v>77</v>
      </c>
      <c r="AN25" s="8"/>
      <c r="AO25" s="8" t="s">
        <v>230</v>
      </c>
    </row>
    <row r="26" spans="1:41" ht="43.5">
      <c r="A26" s="7" t="s">
        <v>234</v>
      </c>
      <c r="B26" s="5">
        <v>45962</v>
      </c>
      <c r="C26" s="17" t="str">
        <f ca="1">IF(B26="","",IF(OR(TRIM(R26)="En curso",TRIM(R26)="En proceso de ingreso"),TODAY()-B26,"Cerrada"))</f>
        <v>Cerrada</v>
      </c>
      <c r="D26" s="8" t="s">
        <v>235</v>
      </c>
      <c r="E26" s="8" t="s">
        <v>43</v>
      </c>
      <c r="F26" s="8"/>
      <c r="G26" s="8"/>
      <c r="H26" s="8"/>
      <c r="I26" s="8"/>
      <c r="J26" s="8" t="s">
        <v>180</v>
      </c>
      <c r="K26" s="8" t="s">
        <v>236</v>
      </c>
      <c r="L26" s="8" t="s">
        <v>237</v>
      </c>
      <c r="M26" s="8" t="s">
        <v>161</v>
      </c>
      <c r="N26" s="8" t="s">
        <v>238</v>
      </c>
      <c r="O26" s="8" t="s">
        <v>239</v>
      </c>
      <c r="P26" s="8" t="s">
        <v>240</v>
      </c>
      <c r="Q26" s="8"/>
      <c r="R26" s="8" t="s">
        <v>52</v>
      </c>
      <c r="S26" s="8" t="s">
        <v>53</v>
      </c>
      <c r="T26" s="8"/>
      <c r="U26" s="8"/>
      <c r="V26" s="8"/>
      <c r="W26" s="8" t="s">
        <v>63</v>
      </c>
      <c r="X26" s="8"/>
      <c r="Y26" s="8"/>
      <c r="Z26" s="8"/>
      <c r="AA26" s="8" t="s">
        <v>56</v>
      </c>
      <c r="AB26" s="8"/>
      <c r="AC26" s="8"/>
      <c r="AD26" s="8" t="s">
        <v>241</v>
      </c>
      <c r="AE26" s="8" t="s">
        <v>113</v>
      </c>
      <c r="AF26" s="5">
        <v>46027</v>
      </c>
      <c r="AG26" s="5">
        <v>46034</v>
      </c>
      <c r="AH26" s="5"/>
      <c r="AI26" s="8"/>
      <c r="AJ26" s="8" t="s">
        <v>242</v>
      </c>
      <c r="AK26" s="8" t="s">
        <v>243</v>
      </c>
      <c r="AL26" s="8" t="s">
        <v>116</v>
      </c>
      <c r="AM26" s="8" t="s">
        <v>187</v>
      </c>
      <c r="AN26" s="8" t="s">
        <v>208</v>
      </c>
      <c r="AO26" s="8" t="s">
        <v>244</v>
      </c>
    </row>
    <row r="27" spans="1:41">
      <c r="A27" s="7" t="s">
        <v>245</v>
      </c>
      <c r="B27" s="5">
        <v>45972</v>
      </c>
      <c r="C27" s="17" t="str">
        <f ca="1">IF(B27="","",IF(OR(TRIM(R27)="En curso",TRIM(R27)="En proceso de ingreso"),TODAY()-B27,"Cerrada"))</f>
        <v>Cerrada</v>
      </c>
      <c r="D27" s="8" t="s">
        <v>104</v>
      </c>
      <c r="E27" s="8" t="s">
        <v>43</v>
      </c>
      <c r="F27" s="8"/>
      <c r="G27" s="8"/>
      <c r="H27" s="8"/>
      <c r="I27" s="8"/>
      <c r="J27" s="8" t="s">
        <v>246</v>
      </c>
      <c r="K27" s="8" t="s">
        <v>247</v>
      </c>
      <c r="L27" s="8" t="s">
        <v>248</v>
      </c>
      <c r="M27" s="8" t="s">
        <v>249</v>
      </c>
      <c r="N27" s="8" t="s">
        <v>213</v>
      </c>
      <c r="O27" s="8" t="s">
        <v>250</v>
      </c>
      <c r="P27" s="8" t="s">
        <v>251</v>
      </c>
      <c r="Q27" s="8"/>
      <c r="R27" s="8" t="s">
        <v>52</v>
      </c>
      <c r="S27" s="8" t="s">
        <v>53</v>
      </c>
      <c r="T27" s="8"/>
      <c r="U27" s="8"/>
      <c r="V27" s="8"/>
      <c r="W27" s="8" t="s">
        <v>54</v>
      </c>
      <c r="X27" s="8"/>
      <c r="Y27" s="8" t="s">
        <v>252</v>
      </c>
      <c r="Z27" s="8"/>
      <c r="AA27" s="8" t="s">
        <v>152</v>
      </c>
      <c r="AB27" s="8"/>
      <c r="AC27" s="8"/>
      <c r="AD27" s="8" t="s">
        <v>253</v>
      </c>
      <c r="AE27" s="8" t="s">
        <v>247</v>
      </c>
      <c r="AF27" s="5">
        <v>46017</v>
      </c>
      <c r="AG27" s="5">
        <v>46040</v>
      </c>
      <c r="AH27" s="5"/>
      <c r="AI27" s="8"/>
      <c r="AJ27" s="8" t="s">
        <v>254</v>
      </c>
      <c r="AK27" s="8" t="s">
        <v>255</v>
      </c>
      <c r="AL27" s="8" t="s">
        <v>116</v>
      </c>
      <c r="AM27" s="8"/>
      <c r="AN27" s="8"/>
      <c r="AO27" s="8" t="s">
        <v>256</v>
      </c>
    </row>
    <row r="28" spans="1:41" ht="101.25">
      <c r="A28" s="7" t="s">
        <v>257</v>
      </c>
      <c r="B28" s="5">
        <v>45973</v>
      </c>
      <c r="C28" s="17" t="str">
        <f ca="1">IF(B28="","",IF(OR(TRIM(R28)="En curso",TRIM(R28)="En proceso de ingreso"),TODAY()-B28,"Cerrada"))</f>
        <v>Cerrada</v>
      </c>
      <c r="D28" s="8" t="s">
        <v>42</v>
      </c>
      <c r="E28" s="8" t="s">
        <v>43</v>
      </c>
      <c r="F28" s="8"/>
      <c r="G28" s="8"/>
      <c r="H28" s="8"/>
      <c r="I28" s="8"/>
      <c r="J28" s="8" t="s">
        <v>180</v>
      </c>
      <c r="K28" s="8"/>
      <c r="L28" s="8" t="s">
        <v>258</v>
      </c>
      <c r="M28" s="8" t="s">
        <v>259</v>
      </c>
      <c r="N28" s="8" t="s">
        <v>238</v>
      </c>
      <c r="O28" s="8" t="s">
        <v>260</v>
      </c>
      <c r="P28" s="8" t="s">
        <v>261</v>
      </c>
      <c r="Q28" s="8"/>
      <c r="R28" s="8" t="s">
        <v>52</v>
      </c>
      <c r="S28" s="8" t="s">
        <v>53</v>
      </c>
      <c r="T28" s="8"/>
      <c r="U28" s="8"/>
      <c r="V28" s="8"/>
      <c r="W28" s="8" t="s">
        <v>54</v>
      </c>
      <c r="X28" s="8"/>
      <c r="Y28" s="8" t="s">
        <v>262</v>
      </c>
      <c r="Z28" s="8"/>
      <c r="AA28" s="8" t="s">
        <v>56</v>
      </c>
      <c r="AB28" s="8"/>
      <c r="AC28" s="8"/>
      <c r="AD28" s="8" t="s">
        <v>263</v>
      </c>
      <c r="AE28" s="8" t="s">
        <v>264</v>
      </c>
      <c r="AF28" s="5">
        <v>46063</v>
      </c>
      <c r="AG28" s="5">
        <v>46076</v>
      </c>
      <c r="AH28" s="5"/>
      <c r="AI28" s="8"/>
      <c r="AJ28" s="8" t="s">
        <v>265</v>
      </c>
      <c r="AK28" s="8" t="s">
        <v>266</v>
      </c>
      <c r="AL28" s="8" t="s">
        <v>116</v>
      </c>
      <c r="AM28" s="8" t="s">
        <v>267</v>
      </c>
      <c r="AN28" s="8" t="s">
        <v>77</v>
      </c>
      <c r="AO28" s="8" t="s">
        <v>268</v>
      </c>
    </row>
    <row r="29" spans="1:41" ht="43.5">
      <c r="A29" s="7" t="s">
        <v>269</v>
      </c>
      <c r="B29" s="5">
        <v>45975</v>
      </c>
      <c r="C29" s="17" t="str">
        <f ca="1">IF(B29="","",IF(OR(TRIM(R29)="En curso",TRIM(R29)="En proceso de ingreso"),TODAY()-B29,"Cerrada"))</f>
        <v>Cerrada</v>
      </c>
      <c r="D29" s="8" t="s">
        <v>144</v>
      </c>
      <c r="E29" s="8" t="s">
        <v>43</v>
      </c>
      <c r="F29" s="8"/>
      <c r="G29" s="8"/>
      <c r="H29" s="8"/>
      <c r="I29" s="8"/>
      <c r="J29" s="8" t="s">
        <v>190</v>
      </c>
      <c r="K29" s="8" t="s">
        <v>190</v>
      </c>
      <c r="L29" s="8" t="s">
        <v>270</v>
      </c>
      <c r="M29" s="8" t="s">
        <v>270</v>
      </c>
      <c r="N29" s="8" t="s">
        <v>271</v>
      </c>
      <c r="O29" s="8" t="s">
        <v>272</v>
      </c>
      <c r="P29" s="8" t="s">
        <v>273</v>
      </c>
      <c r="Q29" s="8"/>
      <c r="R29" s="8" t="s">
        <v>52</v>
      </c>
      <c r="S29" s="8" t="s">
        <v>53</v>
      </c>
      <c r="T29" s="8"/>
      <c r="U29" s="8"/>
      <c r="V29" s="8"/>
      <c r="W29" s="8" t="s">
        <v>54</v>
      </c>
      <c r="X29" s="8"/>
      <c r="Y29" s="8" t="s">
        <v>274</v>
      </c>
      <c r="Z29" s="8" t="s">
        <v>275</v>
      </c>
      <c r="AA29" s="8" t="s">
        <v>56</v>
      </c>
      <c r="AB29" s="8"/>
      <c r="AC29" s="8"/>
      <c r="AD29" s="8" t="s">
        <v>263</v>
      </c>
      <c r="AE29" s="8" t="s">
        <v>276</v>
      </c>
      <c r="AF29" s="5">
        <v>46080</v>
      </c>
      <c r="AG29" s="5">
        <v>46084</v>
      </c>
      <c r="AH29" s="5"/>
      <c r="AI29" s="8"/>
      <c r="AJ29" s="8" t="s">
        <v>277</v>
      </c>
      <c r="AK29" s="8" t="s">
        <v>278</v>
      </c>
      <c r="AL29" s="8" t="s">
        <v>116</v>
      </c>
      <c r="AM29" s="8" t="s">
        <v>279</v>
      </c>
      <c r="AN29" s="8" t="s">
        <v>77</v>
      </c>
      <c r="AO29" s="8" t="s">
        <v>280</v>
      </c>
    </row>
    <row r="30" spans="1:41">
      <c r="A30" s="7" t="s">
        <v>281</v>
      </c>
      <c r="B30" s="5">
        <v>45975</v>
      </c>
      <c r="C30" s="17" t="str">
        <f ca="1">IF(B30="","",IF(OR(TRIM(R30)="En curso",TRIM(R30)="En proceso de ingreso"),TODAY()-B30,"Cerrada"))</f>
        <v>Cerrada</v>
      </c>
      <c r="D30" s="8" t="s">
        <v>42</v>
      </c>
      <c r="E30" s="8" t="s">
        <v>43</v>
      </c>
      <c r="F30" s="8"/>
      <c r="G30" s="8"/>
      <c r="H30" s="8"/>
      <c r="I30" s="8"/>
      <c r="J30" s="8" t="s">
        <v>145</v>
      </c>
      <c r="K30" s="8" t="s">
        <v>181</v>
      </c>
      <c r="L30" s="8" t="s">
        <v>282</v>
      </c>
      <c r="M30" s="8" t="s">
        <v>282</v>
      </c>
      <c r="N30" s="8" t="s">
        <v>283</v>
      </c>
      <c r="O30" s="8" t="s">
        <v>284</v>
      </c>
      <c r="P30" s="8" t="s">
        <v>285</v>
      </c>
      <c r="Q30" s="8"/>
      <c r="R30" s="8" t="s">
        <v>52</v>
      </c>
      <c r="S30" s="8" t="s">
        <v>53</v>
      </c>
      <c r="T30" s="8"/>
      <c r="U30" s="8"/>
      <c r="V30" s="8"/>
      <c r="W30" s="8" t="s">
        <v>63</v>
      </c>
      <c r="X30" s="8"/>
      <c r="Y30" s="8"/>
      <c r="Z30" s="8"/>
      <c r="AA30" s="8" t="s">
        <v>56</v>
      </c>
      <c r="AB30" s="8"/>
      <c r="AC30" s="8"/>
      <c r="AD30" s="8" t="s">
        <v>286</v>
      </c>
      <c r="AE30" s="8" t="s">
        <v>154</v>
      </c>
      <c r="AF30" s="5">
        <v>46027</v>
      </c>
      <c r="AG30" s="5">
        <v>46041</v>
      </c>
      <c r="AH30" s="5"/>
      <c r="AI30" s="8"/>
      <c r="AJ30" s="8" t="s">
        <v>287</v>
      </c>
      <c r="AK30" s="8" t="s">
        <v>288</v>
      </c>
      <c r="AL30" s="8"/>
      <c r="AM30" s="8" t="s">
        <v>77</v>
      </c>
      <c r="AN30" s="8" t="s">
        <v>77</v>
      </c>
      <c r="AO30" s="8"/>
    </row>
    <row r="31" spans="1:41" ht="28.5">
      <c r="A31" s="7" t="s">
        <v>289</v>
      </c>
      <c r="B31" s="5">
        <v>45975</v>
      </c>
      <c r="C31" s="17" t="str">
        <f ca="1">IF(B31="","",IF(OR(TRIM(R31)="En curso",TRIM(R31)="En proceso de ingreso"),TODAY()-B31,"Cerrada"))</f>
        <v>Cerrada</v>
      </c>
      <c r="D31" s="8" t="s">
        <v>42</v>
      </c>
      <c r="E31" s="8" t="s">
        <v>43</v>
      </c>
      <c r="F31" s="8"/>
      <c r="G31" s="8"/>
      <c r="H31" s="8"/>
      <c r="I31" s="8"/>
      <c r="J31" s="8" t="s">
        <v>145</v>
      </c>
      <c r="K31" s="8"/>
      <c r="L31" s="8" t="s">
        <v>282</v>
      </c>
      <c r="M31" s="8" t="s">
        <v>135</v>
      </c>
      <c r="N31" s="8" t="s">
        <v>283</v>
      </c>
      <c r="O31" s="8" t="s">
        <v>284</v>
      </c>
      <c r="P31" s="8" t="s">
        <v>285</v>
      </c>
      <c r="Q31" s="8"/>
      <c r="R31" s="8" t="s">
        <v>52</v>
      </c>
      <c r="S31" s="8" t="s">
        <v>53</v>
      </c>
      <c r="T31" s="8"/>
      <c r="U31" s="8"/>
      <c r="V31" s="8"/>
      <c r="W31" s="8" t="s">
        <v>63</v>
      </c>
      <c r="X31" s="8"/>
      <c r="Y31" s="8"/>
      <c r="Z31" s="8"/>
      <c r="AA31" s="8" t="s">
        <v>56</v>
      </c>
      <c r="AB31" s="8"/>
      <c r="AC31" s="8"/>
      <c r="AD31" s="8"/>
      <c r="AE31" s="8"/>
      <c r="AF31" s="5">
        <v>46027</v>
      </c>
      <c r="AG31" s="5">
        <v>46041</v>
      </c>
      <c r="AH31" s="5"/>
      <c r="AI31" s="8"/>
      <c r="AJ31" s="8" t="s">
        <v>290</v>
      </c>
      <c r="AK31" s="8"/>
      <c r="AL31" s="8"/>
      <c r="AM31" s="8"/>
      <c r="AN31" s="8"/>
      <c r="AO31" s="8" t="s">
        <v>291</v>
      </c>
    </row>
    <row r="32" spans="1:41" ht="28.5">
      <c r="A32" s="7" t="s">
        <v>292</v>
      </c>
      <c r="B32" s="5">
        <v>45980</v>
      </c>
      <c r="C32" s="17" t="str">
        <f ca="1">IF(B32="","",IF(OR(TRIM(R32)="En curso",TRIM(R32)="En proceso de ingreso"),TODAY()-B32,"Cerrada"))</f>
        <v>Cerrada</v>
      </c>
      <c r="D32" s="8" t="s">
        <v>144</v>
      </c>
      <c r="E32" s="8" t="s">
        <v>43</v>
      </c>
      <c r="F32" s="8"/>
      <c r="G32" s="8"/>
      <c r="H32" s="8"/>
      <c r="I32" s="8"/>
      <c r="J32" s="8" t="s">
        <v>145</v>
      </c>
      <c r="K32" s="8" t="s">
        <v>146</v>
      </c>
      <c r="L32" s="8" t="s">
        <v>293</v>
      </c>
      <c r="M32" s="8" t="s">
        <v>294</v>
      </c>
      <c r="N32" s="8" t="s">
        <v>170</v>
      </c>
      <c r="O32" s="8" t="s">
        <v>295</v>
      </c>
      <c r="P32" s="8" t="s">
        <v>296</v>
      </c>
      <c r="Q32" s="8"/>
      <c r="R32" s="8" t="s">
        <v>52</v>
      </c>
      <c r="S32" s="8" t="s">
        <v>53</v>
      </c>
      <c r="T32" s="8"/>
      <c r="U32" s="8"/>
      <c r="V32" s="8"/>
      <c r="W32" s="8" t="s">
        <v>63</v>
      </c>
      <c r="X32" s="8"/>
      <c r="Y32" s="8" t="s">
        <v>297</v>
      </c>
      <c r="Z32" s="8"/>
      <c r="AA32" s="8" t="s">
        <v>152</v>
      </c>
      <c r="AB32" s="8"/>
      <c r="AC32" s="8"/>
      <c r="AD32" s="8" t="s">
        <v>298</v>
      </c>
      <c r="AE32" s="8" t="s">
        <v>154</v>
      </c>
      <c r="AF32" s="5">
        <v>46037</v>
      </c>
      <c r="AG32" s="5">
        <v>46045</v>
      </c>
      <c r="AH32" s="5"/>
      <c r="AI32" s="8"/>
      <c r="AJ32" s="8" t="s">
        <v>299</v>
      </c>
      <c r="AK32" s="8" t="s">
        <v>300</v>
      </c>
      <c r="AL32" s="8" t="s">
        <v>207</v>
      </c>
      <c r="AM32" s="8" t="s">
        <v>77</v>
      </c>
      <c r="AN32" s="8"/>
      <c r="AO32" s="8" t="s">
        <v>301</v>
      </c>
    </row>
    <row r="33" spans="1:41" ht="43.5">
      <c r="A33" s="7" t="s">
        <v>302</v>
      </c>
      <c r="B33" s="5">
        <v>45985</v>
      </c>
      <c r="C33" s="17" t="str">
        <f ca="1">IF(B33="","",IF(OR(TRIM(R33)="En curso",TRIM(R33)="En proceso de ingreso"),TODAY()-B33,"Cerrada"))</f>
        <v>Cerrada</v>
      </c>
      <c r="D33" s="8" t="s">
        <v>42</v>
      </c>
      <c r="E33" s="8" t="s">
        <v>43</v>
      </c>
      <c r="F33" s="8"/>
      <c r="G33" s="8"/>
      <c r="H33" s="8"/>
      <c r="I33" s="8"/>
      <c r="J33" s="8" t="s">
        <v>145</v>
      </c>
      <c r="K33" s="8" t="s">
        <v>146</v>
      </c>
      <c r="L33" s="8" t="s">
        <v>249</v>
      </c>
      <c r="M33" s="8" t="s">
        <v>135</v>
      </c>
      <c r="N33" s="8" t="s">
        <v>200</v>
      </c>
      <c r="O33" s="8" t="s">
        <v>303</v>
      </c>
      <c r="P33" s="8" t="s">
        <v>304</v>
      </c>
      <c r="Q33" s="8"/>
      <c r="R33" s="8" t="s">
        <v>52</v>
      </c>
      <c r="S33" s="8" t="s">
        <v>53</v>
      </c>
      <c r="T33" s="8"/>
      <c r="U33" s="8"/>
      <c r="V33" s="8"/>
      <c r="W33" s="8" t="s">
        <v>54</v>
      </c>
      <c r="X33" s="8"/>
      <c r="Y33" s="8" t="s">
        <v>305</v>
      </c>
      <c r="Z33" s="8"/>
      <c r="AA33" s="8" t="s">
        <v>173</v>
      </c>
      <c r="AB33" s="8"/>
      <c r="AC33" s="8"/>
      <c r="AD33" s="8" t="s">
        <v>306</v>
      </c>
      <c r="AE33" s="8" t="s">
        <v>154</v>
      </c>
      <c r="AF33" s="5">
        <v>46024</v>
      </c>
      <c r="AG33" s="5">
        <v>46034</v>
      </c>
      <c r="AH33" s="5"/>
      <c r="AI33" s="8"/>
      <c r="AJ33" s="8" t="s">
        <v>307</v>
      </c>
      <c r="AK33" s="8" t="s">
        <v>308</v>
      </c>
      <c r="AL33" s="8" t="s">
        <v>207</v>
      </c>
      <c r="AM33" s="8" t="s">
        <v>77</v>
      </c>
      <c r="AN33" s="8"/>
      <c r="AO33" s="8" t="s">
        <v>309</v>
      </c>
    </row>
    <row r="34" spans="1:41" ht="28.5">
      <c r="A34" s="7" t="s">
        <v>310</v>
      </c>
      <c r="B34" s="5">
        <v>45986</v>
      </c>
      <c r="C34" s="17" t="str">
        <f ca="1">IF(B34="","",IF(OR(TRIM(R34)="En curso",TRIM(R34)="En proceso de ingreso"),TODAY()-B34,"Cerrada"))</f>
        <v>Cerrada</v>
      </c>
      <c r="D34" s="8" t="s">
        <v>104</v>
      </c>
      <c r="E34" s="8" t="s">
        <v>43</v>
      </c>
      <c r="F34" s="8"/>
      <c r="G34" s="8"/>
      <c r="H34" s="8"/>
      <c r="I34" s="8"/>
      <c r="J34" s="8" t="s">
        <v>180</v>
      </c>
      <c r="K34" s="8" t="s">
        <v>311</v>
      </c>
      <c r="L34" s="8" t="s">
        <v>312</v>
      </c>
      <c r="M34" s="8" t="s">
        <v>270</v>
      </c>
      <c r="N34" s="8" t="s">
        <v>238</v>
      </c>
      <c r="O34" s="8" t="s">
        <v>313</v>
      </c>
      <c r="P34" s="8" t="s">
        <v>314</v>
      </c>
      <c r="Q34" s="8"/>
      <c r="R34" s="8" t="s">
        <v>52</v>
      </c>
      <c r="S34" s="8" t="s">
        <v>53</v>
      </c>
      <c r="T34" s="8"/>
      <c r="U34" s="8"/>
      <c r="V34" s="8"/>
      <c r="W34" s="8" t="s">
        <v>63</v>
      </c>
      <c r="X34" s="8"/>
      <c r="Y34" s="8"/>
      <c r="Z34" s="8"/>
      <c r="AA34" s="8" t="s">
        <v>56</v>
      </c>
      <c r="AB34" s="8"/>
      <c r="AC34" s="8"/>
      <c r="AD34" s="8" t="s">
        <v>315</v>
      </c>
      <c r="AE34" s="8" t="s">
        <v>264</v>
      </c>
      <c r="AF34" s="5">
        <v>46035</v>
      </c>
      <c r="AG34" s="5">
        <v>46041</v>
      </c>
      <c r="AH34" s="5"/>
      <c r="AI34" s="8"/>
      <c r="AJ34" s="8" t="s">
        <v>316</v>
      </c>
      <c r="AK34" s="8" t="s">
        <v>317</v>
      </c>
      <c r="AL34" s="8" t="s">
        <v>116</v>
      </c>
      <c r="AM34" s="8"/>
      <c r="AN34" s="8"/>
      <c r="AO34" s="8" t="s">
        <v>318</v>
      </c>
    </row>
    <row r="35" spans="1:41" ht="28.5">
      <c r="A35" s="7" t="s">
        <v>319</v>
      </c>
      <c r="B35" s="5">
        <v>45986</v>
      </c>
      <c r="C35" s="17" t="str">
        <f ca="1">IF(B35="","",IF(OR(TRIM(R35)="En curso",TRIM(R35)="En proceso de ingreso"),TODAY()-B35,"Cerrada"))</f>
        <v>Cerrada</v>
      </c>
      <c r="D35" s="8" t="s">
        <v>144</v>
      </c>
      <c r="E35" s="8" t="s">
        <v>43</v>
      </c>
      <c r="F35" s="8"/>
      <c r="G35" s="8"/>
      <c r="H35" s="8"/>
      <c r="I35" s="8"/>
      <c r="J35" s="8" t="s">
        <v>320</v>
      </c>
      <c r="K35" s="8" t="s">
        <v>321</v>
      </c>
      <c r="L35" s="8" t="s">
        <v>161</v>
      </c>
      <c r="M35" s="8" t="s">
        <v>322</v>
      </c>
      <c r="N35" s="8" t="s">
        <v>108</v>
      </c>
      <c r="O35" s="8" t="s">
        <v>323</v>
      </c>
      <c r="P35" s="8" t="s">
        <v>324</v>
      </c>
      <c r="Q35" s="8"/>
      <c r="R35" s="8" t="s">
        <v>52</v>
      </c>
      <c r="S35" s="8" t="s">
        <v>53</v>
      </c>
      <c r="T35" s="8"/>
      <c r="U35" s="8"/>
      <c r="V35" s="8"/>
      <c r="W35" s="8" t="s">
        <v>54</v>
      </c>
      <c r="X35" s="8"/>
      <c r="Y35" s="8" t="s">
        <v>325</v>
      </c>
      <c r="Z35" s="8"/>
      <c r="AA35" s="8" t="s">
        <v>56</v>
      </c>
      <c r="AB35" s="8"/>
      <c r="AC35" s="8"/>
      <c r="AD35" s="8" t="s">
        <v>326</v>
      </c>
      <c r="AE35" s="8" t="s">
        <v>327</v>
      </c>
      <c r="AF35" s="5">
        <v>46035</v>
      </c>
      <c r="AG35" s="5">
        <v>46041</v>
      </c>
      <c r="AH35" s="5"/>
      <c r="AI35" s="8"/>
      <c r="AJ35" s="8" t="s">
        <v>328</v>
      </c>
      <c r="AK35" s="8" t="s">
        <v>243</v>
      </c>
      <c r="AL35" s="8" t="s">
        <v>116</v>
      </c>
      <c r="AM35" s="8" t="s">
        <v>118</v>
      </c>
      <c r="AN35" s="8"/>
      <c r="AO35" s="8" t="s">
        <v>329</v>
      </c>
    </row>
    <row r="36" spans="1:41" ht="28.5">
      <c r="A36" s="7" t="s">
        <v>330</v>
      </c>
      <c r="B36" s="5">
        <v>45986</v>
      </c>
      <c r="C36" s="17" t="str">
        <f ca="1">IF(B36="","",IF(OR(TRIM(R36)="En curso",TRIM(R36)="En proceso de ingreso"),TODAY()-B36,"Cerrada"))</f>
        <v>Cerrada</v>
      </c>
      <c r="D36" s="8" t="s">
        <v>235</v>
      </c>
      <c r="E36" s="8" t="s">
        <v>43</v>
      </c>
      <c r="F36" s="8"/>
      <c r="G36" s="8"/>
      <c r="H36" s="8"/>
      <c r="I36" s="8"/>
      <c r="J36" s="8" t="s">
        <v>180</v>
      </c>
      <c r="K36" s="8" t="s">
        <v>331</v>
      </c>
      <c r="L36" s="8" t="s">
        <v>332</v>
      </c>
      <c r="M36" s="8" t="s">
        <v>135</v>
      </c>
      <c r="N36" s="8" t="s">
        <v>108</v>
      </c>
      <c r="O36" s="8" t="s">
        <v>333</v>
      </c>
      <c r="P36" s="8" t="s">
        <v>334</v>
      </c>
      <c r="Q36" s="8"/>
      <c r="R36" s="8" t="s">
        <v>52</v>
      </c>
      <c r="S36" s="8" t="s">
        <v>53</v>
      </c>
      <c r="T36" s="8"/>
      <c r="U36" s="8"/>
      <c r="V36" s="8"/>
      <c r="W36" s="8" t="s">
        <v>54</v>
      </c>
      <c r="X36" s="8"/>
      <c r="Y36" s="8" t="s">
        <v>335</v>
      </c>
      <c r="Z36" s="8"/>
      <c r="AA36" s="8" t="s">
        <v>56</v>
      </c>
      <c r="AB36" s="8"/>
      <c r="AC36" s="8"/>
      <c r="AD36" s="8" t="s">
        <v>336</v>
      </c>
      <c r="AE36" s="8" t="s">
        <v>337</v>
      </c>
      <c r="AF36" s="5">
        <v>46028</v>
      </c>
      <c r="AG36" s="5">
        <v>46041</v>
      </c>
      <c r="AH36" s="5"/>
      <c r="AI36" s="8"/>
      <c r="AJ36" s="8" t="s">
        <v>338</v>
      </c>
      <c r="AK36" s="8" t="s">
        <v>339</v>
      </c>
      <c r="AL36" s="8" t="s">
        <v>116</v>
      </c>
      <c r="AM36" s="8" t="s">
        <v>187</v>
      </c>
      <c r="AN36" s="8" t="s">
        <v>44</v>
      </c>
      <c r="AO36" s="8" t="s">
        <v>340</v>
      </c>
    </row>
    <row r="37" spans="1:41">
      <c r="A37" s="7" t="s">
        <v>341</v>
      </c>
      <c r="B37" s="5">
        <v>45987</v>
      </c>
      <c r="C37" s="17" t="str">
        <f ca="1">IF(B37="","",IF(OR(TRIM(R37)="En curso",TRIM(R37)="En proceso de ingreso"),TODAY()-B37,"Cerrada"))</f>
        <v>Cerrada</v>
      </c>
      <c r="D37" s="8" t="s">
        <v>144</v>
      </c>
      <c r="E37" s="8" t="s">
        <v>43</v>
      </c>
      <c r="F37" s="8"/>
      <c r="G37" s="8"/>
      <c r="H37" s="8"/>
      <c r="I37" s="8"/>
      <c r="J37" s="8" t="s">
        <v>145</v>
      </c>
      <c r="K37" s="8"/>
      <c r="L37" s="8" t="s">
        <v>222</v>
      </c>
      <c r="M37" s="8" t="s">
        <v>199</v>
      </c>
      <c r="N37" s="8" t="s">
        <v>223</v>
      </c>
      <c r="O37" s="8" t="s">
        <v>342</v>
      </c>
      <c r="P37" s="8" t="s">
        <v>225</v>
      </c>
      <c r="Q37" s="8"/>
      <c r="R37" s="8" t="s">
        <v>52</v>
      </c>
      <c r="S37" s="8" t="s">
        <v>53</v>
      </c>
      <c r="T37" s="8"/>
      <c r="U37" s="8"/>
      <c r="V37" s="8"/>
      <c r="W37" s="8" t="s">
        <v>54</v>
      </c>
      <c r="X37" s="8"/>
      <c r="Y37" s="8" t="s">
        <v>343</v>
      </c>
      <c r="Z37" s="8"/>
      <c r="AA37" s="8" t="s">
        <v>56</v>
      </c>
      <c r="AB37" s="8"/>
      <c r="AC37" s="8"/>
      <c r="AD37" s="8"/>
      <c r="AE37" s="8"/>
      <c r="AF37" s="8"/>
      <c r="AG37" s="5">
        <v>46076</v>
      </c>
      <c r="AH37" s="5"/>
      <c r="AI37" s="8"/>
      <c r="AJ37" s="8" t="s">
        <v>344</v>
      </c>
      <c r="AK37" s="8"/>
      <c r="AL37" s="8"/>
      <c r="AM37" s="8"/>
      <c r="AN37" s="8"/>
      <c r="AO37" s="8" t="s">
        <v>345</v>
      </c>
    </row>
    <row r="38" spans="1:41" ht="28.5">
      <c r="A38" s="7" t="s">
        <v>346</v>
      </c>
      <c r="B38" s="5">
        <v>45991</v>
      </c>
      <c r="C38" s="17" t="str">
        <f ca="1">IF(B38="","",IF(OR(TRIM(R38)="En curso",TRIM(R38)="En proceso de ingreso"),TODAY()-B38,"Cerrada"))</f>
        <v>Cerrada</v>
      </c>
      <c r="D38" s="8" t="s">
        <v>144</v>
      </c>
      <c r="E38" s="8" t="s">
        <v>43</v>
      </c>
      <c r="F38" s="8"/>
      <c r="G38" s="8"/>
      <c r="H38" s="8"/>
      <c r="I38" s="8"/>
      <c r="J38" s="8" t="s">
        <v>145</v>
      </c>
      <c r="K38" s="8" t="s">
        <v>146</v>
      </c>
      <c r="L38" s="8" t="s">
        <v>347</v>
      </c>
      <c r="M38" s="8" t="s">
        <v>348</v>
      </c>
      <c r="N38" s="8" t="s">
        <v>213</v>
      </c>
      <c r="O38" s="8" t="s">
        <v>349</v>
      </c>
      <c r="P38" s="8" t="s">
        <v>350</v>
      </c>
      <c r="Q38" s="8"/>
      <c r="R38" s="8" t="s">
        <v>52</v>
      </c>
      <c r="S38" s="8" t="s">
        <v>53</v>
      </c>
      <c r="T38" s="8"/>
      <c r="U38" s="8"/>
      <c r="V38" s="8"/>
      <c r="W38" s="8" t="s">
        <v>54</v>
      </c>
      <c r="X38" s="8"/>
      <c r="Y38" s="8" t="s">
        <v>351</v>
      </c>
      <c r="Z38" s="8"/>
      <c r="AA38" s="8" t="s">
        <v>152</v>
      </c>
      <c r="AB38" s="8"/>
      <c r="AC38" s="8"/>
      <c r="AD38" s="8" t="s">
        <v>352</v>
      </c>
      <c r="AE38" s="8" t="s">
        <v>154</v>
      </c>
      <c r="AF38" s="5">
        <v>46027</v>
      </c>
      <c r="AG38" s="5">
        <v>46041</v>
      </c>
      <c r="AH38" s="5"/>
      <c r="AI38" s="8"/>
      <c r="AJ38" s="8" t="s">
        <v>353</v>
      </c>
      <c r="AK38" s="8" t="s">
        <v>354</v>
      </c>
      <c r="AL38" s="8" t="s">
        <v>207</v>
      </c>
      <c r="AM38" s="8" t="s">
        <v>77</v>
      </c>
      <c r="AN38" s="8"/>
      <c r="AO38" s="8" t="s">
        <v>355</v>
      </c>
    </row>
    <row r="39" spans="1:41">
      <c r="A39" s="7" t="s">
        <v>356</v>
      </c>
      <c r="B39" s="5">
        <v>45994</v>
      </c>
      <c r="C39" s="17" t="str">
        <f ca="1">IF(B39="","",IF(OR(TRIM(R39)="En curso",TRIM(R39)="En proceso de ingreso"),TODAY()-B39,"Cerrada"))</f>
        <v>Cerrada</v>
      </c>
      <c r="D39" s="8" t="s">
        <v>235</v>
      </c>
      <c r="E39" s="8" t="s">
        <v>43</v>
      </c>
      <c r="F39" s="8"/>
      <c r="G39" s="8"/>
      <c r="H39" s="8"/>
      <c r="I39" s="8"/>
      <c r="J39" s="8" t="s">
        <v>180</v>
      </c>
      <c r="K39" s="8" t="s">
        <v>236</v>
      </c>
      <c r="L39" s="8" t="s">
        <v>237</v>
      </c>
      <c r="M39" s="8" t="s">
        <v>161</v>
      </c>
      <c r="N39" s="8" t="s">
        <v>108</v>
      </c>
      <c r="O39" s="8" t="s">
        <v>357</v>
      </c>
      <c r="P39" s="8" t="s">
        <v>358</v>
      </c>
      <c r="Q39" s="8"/>
      <c r="R39" s="8" t="s">
        <v>52</v>
      </c>
      <c r="S39" s="8" t="s">
        <v>53</v>
      </c>
      <c r="T39" s="8"/>
      <c r="U39" s="8"/>
      <c r="V39" s="8"/>
      <c r="W39" s="8" t="s">
        <v>54</v>
      </c>
      <c r="X39" s="8"/>
      <c r="Y39" s="8" t="s">
        <v>359</v>
      </c>
      <c r="Z39" s="8"/>
      <c r="AA39" s="8" t="s">
        <v>56</v>
      </c>
      <c r="AB39" s="8"/>
      <c r="AC39" s="8"/>
      <c r="AD39" s="8" t="s">
        <v>241</v>
      </c>
      <c r="AE39" s="8" t="s">
        <v>360</v>
      </c>
      <c r="AF39" s="5">
        <v>46020</v>
      </c>
      <c r="AG39" s="5">
        <v>46027</v>
      </c>
      <c r="AH39" s="5"/>
      <c r="AI39" s="8"/>
      <c r="AJ39" s="8" t="s">
        <v>361</v>
      </c>
      <c r="AK39" s="8" t="s">
        <v>362</v>
      </c>
      <c r="AL39" s="8" t="s">
        <v>116</v>
      </c>
      <c r="AM39" s="8" t="s">
        <v>187</v>
      </c>
      <c r="AN39" s="8"/>
      <c r="AO39" s="8"/>
    </row>
    <row r="40" spans="1:41" ht="28.5">
      <c r="A40" s="7" t="s">
        <v>363</v>
      </c>
      <c r="B40" s="5">
        <v>45994</v>
      </c>
      <c r="C40" s="17" t="str">
        <f ca="1">IF(B40="","",IF(OR(TRIM(R40)="En curso",TRIM(R40)="En proceso de ingreso"),TODAY()-B40,"Cerrada"))</f>
        <v>Cerrada</v>
      </c>
      <c r="D40" s="8" t="s">
        <v>42</v>
      </c>
      <c r="E40" s="8" t="s">
        <v>43</v>
      </c>
      <c r="F40" s="8"/>
      <c r="G40" s="8"/>
      <c r="H40" s="8"/>
      <c r="I40" s="8"/>
      <c r="J40" s="8" t="s">
        <v>45</v>
      </c>
      <c r="K40" s="8" t="s">
        <v>121</v>
      </c>
      <c r="L40" s="8" t="s">
        <v>122</v>
      </c>
      <c r="M40" s="8" t="s">
        <v>161</v>
      </c>
      <c r="N40" s="8" t="s">
        <v>49</v>
      </c>
      <c r="O40" s="8" t="s">
        <v>364</v>
      </c>
      <c r="P40" s="8" t="s">
        <v>365</v>
      </c>
      <c r="Q40" s="8"/>
      <c r="R40" s="8" t="s">
        <v>52</v>
      </c>
      <c r="S40" s="8" t="s">
        <v>53</v>
      </c>
      <c r="T40" s="8"/>
      <c r="U40" s="8"/>
      <c r="V40" s="8"/>
      <c r="W40" s="8" t="s">
        <v>54</v>
      </c>
      <c r="X40" s="8"/>
      <c r="Y40" s="8" t="s">
        <v>366</v>
      </c>
      <c r="Z40" s="8"/>
      <c r="AA40" s="8" t="s">
        <v>56</v>
      </c>
      <c r="AB40" s="8"/>
      <c r="AC40" s="8"/>
      <c r="AD40" s="8" t="s">
        <v>367</v>
      </c>
      <c r="AE40" s="8" t="s">
        <v>127</v>
      </c>
      <c r="AF40" s="5">
        <v>46020</v>
      </c>
      <c r="AG40" s="5">
        <v>46028</v>
      </c>
      <c r="AH40" s="5"/>
      <c r="AI40" s="8"/>
      <c r="AJ40" s="8" t="s">
        <v>368</v>
      </c>
      <c r="AK40" s="8" t="s">
        <v>369</v>
      </c>
      <c r="AL40" s="8" t="s">
        <v>61</v>
      </c>
      <c r="AM40" s="8" t="s">
        <v>44</v>
      </c>
      <c r="AN40" s="8" t="s">
        <v>77</v>
      </c>
      <c r="AO40" s="8" t="s">
        <v>370</v>
      </c>
    </row>
    <row r="41" spans="1:41" ht="28.5">
      <c r="A41" s="7" t="s">
        <v>371</v>
      </c>
      <c r="B41" s="5">
        <v>46000</v>
      </c>
      <c r="C41" s="17" t="str">
        <f ca="1">IF(B41="","",IF(OR(TRIM(R41)="En curso",TRIM(R41)="En proceso de ingreso"),TODAY()-B41,"Cerrada"))</f>
        <v>Cerrada</v>
      </c>
      <c r="D41" s="8" t="s">
        <v>144</v>
      </c>
      <c r="E41" s="8" t="s">
        <v>43</v>
      </c>
      <c r="F41" s="8"/>
      <c r="G41" s="8"/>
      <c r="H41" s="8"/>
      <c r="I41" s="8"/>
      <c r="J41" s="8" t="s">
        <v>145</v>
      </c>
      <c r="K41" s="8" t="s">
        <v>146</v>
      </c>
      <c r="L41" s="8" t="s">
        <v>347</v>
      </c>
      <c r="M41" s="8" t="s">
        <v>348</v>
      </c>
      <c r="N41" s="8" t="s">
        <v>213</v>
      </c>
      <c r="O41" s="8" t="s">
        <v>349</v>
      </c>
      <c r="P41" s="8" t="s">
        <v>350</v>
      </c>
      <c r="Q41" s="8"/>
      <c r="R41" s="8" t="s">
        <v>52</v>
      </c>
      <c r="S41" s="8" t="s">
        <v>53</v>
      </c>
      <c r="T41" s="8"/>
      <c r="U41" s="8"/>
      <c r="V41" s="8"/>
      <c r="W41" s="8" t="s">
        <v>54</v>
      </c>
      <c r="X41" s="8"/>
      <c r="Y41" s="8" t="s">
        <v>372</v>
      </c>
      <c r="Z41" s="8"/>
      <c r="AA41" s="8" t="s">
        <v>173</v>
      </c>
      <c r="AB41" s="8"/>
      <c r="AC41" s="8"/>
      <c r="AD41" s="8" t="s">
        <v>373</v>
      </c>
      <c r="AE41" s="8" t="s">
        <v>154</v>
      </c>
      <c r="AF41" s="5">
        <v>46027</v>
      </c>
      <c r="AG41" s="5">
        <v>46034</v>
      </c>
      <c r="AH41" s="5"/>
      <c r="AI41" s="8"/>
      <c r="AJ41" s="8" t="s">
        <v>374</v>
      </c>
      <c r="AK41" s="8" t="s">
        <v>375</v>
      </c>
      <c r="AL41" s="8" t="s">
        <v>207</v>
      </c>
      <c r="AM41" s="8" t="s">
        <v>44</v>
      </c>
      <c r="AN41" s="8"/>
      <c r="AO41" s="8"/>
    </row>
    <row r="42" spans="1:41" ht="28.5">
      <c r="A42" s="7" t="s">
        <v>376</v>
      </c>
      <c r="B42" s="5">
        <v>46000</v>
      </c>
      <c r="C42" s="17" t="str">
        <f ca="1">IF(B42="","",IF(OR(TRIM(R42)="En curso",TRIM(R42)="En proceso de ingreso"),TODAY()-B42,"Cerrada"))</f>
        <v>Cerrada</v>
      </c>
      <c r="D42" s="8" t="s">
        <v>42</v>
      </c>
      <c r="E42" s="8" t="s">
        <v>43</v>
      </c>
      <c r="F42" s="8"/>
      <c r="G42" s="8" t="s">
        <v>44</v>
      </c>
      <c r="H42" s="8"/>
      <c r="I42" s="8"/>
      <c r="J42" s="8" t="s">
        <v>45</v>
      </c>
      <c r="K42" s="8" t="s">
        <v>46</v>
      </c>
      <c r="L42" s="8" t="s">
        <v>47</v>
      </c>
      <c r="M42" s="8" t="s">
        <v>48</v>
      </c>
      <c r="N42" s="8" t="s">
        <v>49</v>
      </c>
      <c r="O42" s="8" t="s">
        <v>50</v>
      </c>
      <c r="P42" s="8" t="s">
        <v>51</v>
      </c>
      <c r="Q42" s="8"/>
      <c r="R42" s="8" t="s">
        <v>52</v>
      </c>
      <c r="S42" s="8" t="s">
        <v>53</v>
      </c>
      <c r="T42" s="8"/>
      <c r="U42" s="8"/>
      <c r="V42" s="8"/>
      <c r="W42" s="8" t="s">
        <v>54</v>
      </c>
      <c r="X42" s="8"/>
      <c r="Y42" s="8" t="s">
        <v>377</v>
      </c>
      <c r="Z42" s="8"/>
      <c r="AA42" s="8" t="s">
        <v>56</v>
      </c>
      <c r="AB42" s="8"/>
      <c r="AC42" s="8"/>
      <c r="AD42" s="8" t="s">
        <v>57</v>
      </c>
      <c r="AE42" s="8" t="s">
        <v>378</v>
      </c>
      <c r="AF42" s="5">
        <v>46044</v>
      </c>
      <c r="AG42" s="5">
        <v>46056</v>
      </c>
      <c r="AH42" s="5"/>
      <c r="AI42" s="8"/>
      <c r="AJ42" s="8" t="s">
        <v>379</v>
      </c>
      <c r="AK42" s="8" t="s">
        <v>60</v>
      </c>
      <c r="AL42" s="8" t="s">
        <v>61</v>
      </c>
      <c r="AM42" s="8" t="s">
        <v>44</v>
      </c>
      <c r="AN42" s="8" t="s">
        <v>44</v>
      </c>
      <c r="AO42" s="8"/>
    </row>
    <row r="43" spans="1:41" ht="28.5">
      <c r="A43" s="7" t="s">
        <v>380</v>
      </c>
      <c r="B43" s="5">
        <v>46000</v>
      </c>
      <c r="C43" s="17" t="str">
        <f ca="1">IF(B43="","",IF(OR(TRIM(R43)="En curso",TRIM(R43)="En proceso de ingreso"),TODAY()-B43,"Cerrada"))</f>
        <v>Cerrada</v>
      </c>
      <c r="D43" s="8" t="s">
        <v>144</v>
      </c>
      <c r="E43" s="8" t="s">
        <v>43</v>
      </c>
      <c r="F43" s="8"/>
      <c r="G43" s="8"/>
      <c r="H43" s="8"/>
      <c r="I43" s="8"/>
      <c r="J43" s="8" t="s">
        <v>145</v>
      </c>
      <c r="K43" s="8" t="s">
        <v>146</v>
      </c>
      <c r="L43" s="8" t="s">
        <v>198</v>
      </c>
      <c r="M43" s="8" t="s">
        <v>199</v>
      </c>
      <c r="N43" s="8" t="s">
        <v>200</v>
      </c>
      <c r="O43" s="8" t="s">
        <v>201</v>
      </c>
      <c r="P43" s="8" t="s">
        <v>202</v>
      </c>
      <c r="Q43" s="8"/>
      <c r="R43" s="8" t="s">
        <v>52</v>
      </c>
      <c r="S43" s="8" t="s">
        <v>53</v>
      </c>
      <c r="T43" s="8"/>
      <c r="U43" s="8"/>
      <c r="V43" s="8"/>
      <c r="W43" s="8" t="s">
        <v>54</v>
      </c>
      <c r="X43" s="8"/>
      <c r="Y43" s="8" t="s">
        <v>381</v>
      </c>
      <c r="Z43" s="8"/>
      <c r="AA43" s="8" t="s">
        <v>173</v>
      </c>
      <c r="AB43" s="8"/>
      <c r="AC43" s="8"/>
      <c r="AD43" s="8" t="s">
        <v>382</v>
      </c>
      <c r="AE43" s="8" t="s">
        <v>154</v>
      </c>
      <c r="AF43" s="5">
        <v>46028</v>
      </c>
      <c r="AG43" s="5">
        <v>46041</v>
      </c>
      <c r="AH43" s="5"/>
      <c r="AI43" s="8"/>
      <c r="AJ43" s="8" t="s">
        <v>383</v>
      </c>
      <c r="AK43" s="8" t="s">
        <v>384</v>
      </c>
      <c r="AL43" s="8" t="s">
        <v>207</v>
      </c>
      <c r="AM43" s="8" t="s">
        <v>77</v>
      </c>
      <c r="AN43" s="8"/>
      <c r="AO43" s="8" t="s">
        <v>385</v>
      </c>
    </row>
    <row r="44" spans="1:41" ht="28.5">
      <c r="A44" s="7" t="s">
        <v>386</v>
      </c>
      <c r="B44" s="5">
        <v>46000</v>
      </c>
      <c r="C44" s="17" t="str">
        <f ca="1">IF(B44="","",IF(OR(TRIM(R44)="En curso",TRIM(R44)="En proceso de ingreso"),TODAY()-B44,"Cerrada"))</f>
        <v>Cerrada</v>
      </c>
      <c r="D44" s="8" t="s">
        <v>144</v>
      </c>
      <c r="E44" s="8" t="s">
        <v>43</v>
      </c>
      <c r="F44" s="8"/>
      <c r="G44" s="8"/>
      <c r="H44" s="8"/>
      <c r="I44" s="8"/>
      <c r="J44" s="8" t="s">
        <v>145</v>
      </c>
      <c r="K44" s="8" t="s">
        <v>146</v>
      </c>
      <c r="L44" s="8" t="s">
        <v>347</v>
      </c>
      <c r="M44" s="8" t="s">
        <v>348</v>
      </c>
      <c r="N44" s="8" t="s">
        <v>213</v>
      </c>
      <c r="O44" s="8" t="s">
        <v>349</v>
      </c>
      <c r="P44" s="8" t="s">
        <v>350</v>
      </c>
      <c r="Q44" s="8"/>
      <c r="R44" s="8" t="s">
        <v>52</v>
      </c>
      <c r="S44" s="8" t="s">
        <v>53</v>
      </c>
      <c r="T44" s="8"/>
      <c r="U44" s="8"/>
      <c r="V44" s="8"/>
      <c r="W44" s="8" t="s">
        <v>54</v>
      </c>
      <c r="X44" s="8"/>
      <c r="Y44" s="8" t="s">
        <v>387</v>
      </c>
      <c r="Z44" s="8"/>
      <c r="AA44" s="8" t="s">
        <v>152</v>
      </c>
      <c r="AB44" s="8"/>
      <c r="AC44" s="8"/>
      <c r="AD44" s="8" t="s">
        <v>388</v>
      </c>
      <c r="AE44" s="8" t="s">
        <v>154</v>
      </c>
      <c r="AF44" s="5">
        <v>46027</v>
      </c>
      <c r="AG44" s="5">
        <v>46034</v>
      </c>
      <c r="AH44" s="5"/>
      <c r="AI44" s="8"/>
      <c r="AJ44" s="8" t="s">
        <v>389</v>
      </c>
      <c r="AK44" s="8" t="s">
        <v>390</v>
      </c>
      <c r="AL44" s="8" t="s">
        <v>207</v>
      </c>
      <c r="AM44" s="8" t="s">
        <v>77</v>
      </c>
      <c r="AN44" s="8"/>
      <c r="AO44" s="8" t="s">
        <v>391</v>
      </c>
    </row>
    <row r="45" spans="1:41" ht="28.5">
      <c r="A45" s="7" t="s">
        <v>392</v>
      </c>
      <c r="B45" s="5">
        <v>46002</v>
      </c>
      <c r="C45" s="17" t="str">
        <f ca="1">IF(B45="","",IF(OR(TRIM(R45)="En curso",TRIM(R45)="En proceso de ingreso"),TODAY()-B45,"Cerrada"))</f>
        <v>Cerrada</v>
      </c>
      <c r="D45" s="8" t="s">
        <v>235</v>
      </c>
      <c r="E45" s="8" t="s">
        <v>43</v>
      </c>
      <c r="F45" s="8"/>
      <c r="G45" s="8"/>
      <c r="H45" s="8"/>
      <c r="I45" s="8"/>
      <c r="J45" s="8" t="s">
        <v>180</v>
      </c>
      <c r="K45" s="8" t="s">
        <v>331</v>
      </c>
      <c r="L45" s="8" t="s">
        <v>134</v>
      </c>
      <c r="M45" s="8" t="s">
        <v>135</v>
      </c>
      <c r="N45" s="8" t="s">
        <v>271</v>
      </c>
      <c r="O45" s="8" t="s">
        <v>393</v>
      </c>
      <c r="P45" s="8" t="s">
        <v>324</v>
      </c>
      <c r="Q45" s="8"/>
      <c r="R45" s="8" t="s">
        <v>52</v>
      </c>
      <c r="S45" s="8" t="s">
        <v>53</v>
      </c>
      <c r="T45" s="8"/>
      <c r="U45" s="8"/>
      <c r="V45" s="8"/>
      <c r="W45" s="8" t="s">
        <v>54</v>
      </c>
      <c r="X45" s="8"/>
      <c r="Y45" s="8" t="s">
        <v>394</v>
      </c>
      <c r="Z45" s="8"/>
      <c r="AA45" s="8" t="s">
        <v>56</v>
      </c>
      <c r="AB45" s="8"/>
      <c r="AC45" s="8"/>
      <c r="AD45" s="8" t="s">
        <v>395</v>
      </c>
      <c r="AE45" s="8" t="s">
        <v>264</v>
      </c>
      <c r="AF45" s="5">
        <v>46062</v>
      </c>
      <c r="AG45" s="5">
        <v>46071</v>
      </c>
      <c r="AH45" s="5"/>
      <c r="AI45" s="8"/>
      <c r="AJ45" s="8" t="s">
        <v>396</v>
      </c>
      <c r="AK45" s="8" t="s">
        <v>397</v>
      </c>
      <c r="AL45" s="8" t="s">
        <v>116</v>
      </c>
      <c r="AM45" s="8" t="s">
        <v>187</v>
      </c>
      <c r="AN45" s="8" t="s">
        <v>208</v>
      </c>
      <c r="AO45" s="8" t="s">
        <v>398</v>
      </c>
    </row>
    <row r="46" spans="1:41" ht="28.5">
      <c r="A46" s="7" t="s">
        <v>399</v>
      </c>
      <c r="B46" s="5">
        <v>46004</v>
      </c>
      <c r="C46" s="17" t="str">
        <f ca="1">IF(B46="","",IF(OR(TRIM(R46)="En curso",TRIM(R46)="En proceso de ingreso"),TODAY()-B46,"Cerrada"))</f>
        <v>Cerrada</v>
      </c>
      <c r="D46" s="8" t="s">
        <v>144</v>
      </c>
      <c r="E46" s="8" t="s">
        <v>43</v>
      </c>
      <c r="F46" s="8"/>
      <c r="G46" s="8"/>
      <c r="H46" s="8"/>
      <c r="I46" s="8"/>
      <c r="J46" s="8" t="s">
        <v>145</v>
      </c>
      <c r="K46" s="8" t="s">
        <v>146</v>
      </c>
      <c r="L46" s="8" t="s">
        <v>222</v>
      </c>
      <c r="M46" s="8" t="s">
        <v>212</v>
      </c>
      <c r="N46" s="8" t="s">
        <v>223</v>
      </c>
      <c r="O46" s="8" t="s">
        <v>224</v>
      </c>
      <c r="P46" s="8" t="s">
        <v>225</v>
      </c>
      <c r="Q46" s="8"/>
      <c r="R46" s="8" t="s">
        <v>52</v>
      </c>
      <c r="S46" s="8" t="s">
        <v>53</v>
      </c>
      <c r="T46" s="8"/>
      <c r="U46" s="8"/>
      <c r="V46" s="8"/>
      <c r="W46" s="8" t="s">
        <v>54</v>
      </c>
      <c r="X46" s="8"/>
      <c r="Y46" s="8" t="s">
        <v>400</v>
      </c>
      <c r="Z46" s="8"/>
      <c r="AA46" s="8" t="s">
        <v>173</v>
      </c>
      <c r="AB46" s="8"/>
      <c r="AC46" s="8"/>
      <c r="AD46" s="8" t="s">
        <v>401</v>
      </c>
      <c r="AE46" s="8" t="s">
        <v>154</v>
      </c>
      <c r="AF46" s="5">
        <v>46049</v>
      </c>
      <c r="AG46" s="5">
        <v>46055</v>
      </c>
      <c r="AH46" s="5"/>
      <c r="AI46" s="8"/>
      <c r="AJ46" s="8" t="s">
        <v>402</v>
      </c>
      <c r="AK46" s="8" t="s">
        <v>403</v>
      </c>
      <c r="AL46" s="8" t="s">
        <v>207</v>
      </c>
      <c r="AM46" s="8" t="s">
        <v>77</v>
      </c>
      <c r="AN46" s="8"/>
      <c r="AO46" s="8" t="s">
        <v>404</v>
      </c>
    </row>
    <row r="47" spans="1:41" ht="28.5">
      <c r="A47" s="7" t="s">
        <v>405</v>
      </c>
      <c r="B47" s="5">
        <v>46004</v>
      </c>
      <c r="C47" s="17" t="str">
        <f ca="1">IF(B47="","",IF(OR(TRIM(R47)="En curso",TRIM(R47)="En proceso de ingreso"),TODAY()-B47,"Cerrada"))</f>
        <v>Cerrada</v>
      </c>
      <c r="D47" s="8" t="s">
        <v>144</v>
      </c>
      <c r="E47" s="8" t="s">
        <v>43</v>
      </c>
      <c r="F47" s="8"/>
      <c r="G47" s="8"/>
      <c r="H47" s="8"/>
      <c r="I47" s="8"/>
      <c r="J47" s="8" t="s">
        <v>145</v>
      </c>
      <c r="K47" s="8" t="s">
        <v>146</v>
      </c>
      <c r="L47" s="8" t="s">
        <v>222</v>
      </c>
      <c r="M47" s="8" t="s">
        <v>212</v>
      </c>
      <c r="N47" s="8" t="s">
        <v>223</v>
      </c>
      <c r="O47" s="8" t="s">
        <v>224</v>
      </c>
      <c r="P47" s="8" t="s">
        <v>225</v>
      </c>
      <c r="Q47" s="8"/>
      <c r="R47" s="8" t="s">
        <v>52</v>
      </c>
      <c r="S47" s="8" t="s">
        <v>53</v>
      </c>
      <c r="T47" s="8"/>
      <c r="U47" s="8"/>
      <c r="V47" s="8"/>
      <c r="W47" s="8" t="s">
        <v>54</v>
      </c>
      <c r="X47" s="8"/>
      <c r="Y47" s="8" t="s">
        <v>406</v>
      </c>
      <c r="Z47" s="8"/>
      <c r="AA47" s="8" t="s">
        <v>173</v>
      </c>
      <c r="AB47" s="8"/>
      <c r="AC47" s="8"/>
      <c r="AD47" s="8" t="s">
        <v>401</v>
      </c>
      <c r="AE47" s="8" t="s">
        <v>154</v>
      </c>
      <c r="AF47" s="5">
        <v>46049</v>
      </c>
      <c r="AG47" s="5">
        <v>46055</v>
      </c>
      <c r="AH47" s="5"/>
      <c r="AI47" s="8"/>
      <c r="AJ47" s="8" t="s">
        <v>407</v>
      </c>
      <c r="AK47" s="8" t="s">
        <v>403</v>
      </c>
      <c r="AL47" s="8" t="s">
        <v>207</v>
      </c>
      <c r="AM47" s="8" t="s">
        <v>77</v>
      </c>
      <c r="AN47" s="8"/>
      <c r="AO47" s="8" t="s">
        <v>404</v>
      </c>
    </row>
    <row r="48" spans="1:41" ht="28.5">
      <c r="A48" s="7" t="s">
        <v>408</v>
      </c>
      <c r="B48" s="5">
        <v>46006</v>
      </c>
      <c r="C48" s="17" t="str">
        <f ca="1">IF(B48="","",IF(OR(TRIM(R48)="En curso",TRIM(R48)="En proceso de ingreso"),TODAY()-B48,"Cerrada"))</f>
        <v>Cerrada</v>
      </c>
      <c r="D48" s="8" t="s">
        <v>42</v>
      </c>
      <c r="E48" s="8" t="s">
        <v>43</v>
      </c>
      <c r="F48" s="8"/>
      <c r="G48" s="8"/>
      <c r="H48" s="8"/>
      <c r="I48" s="8"/>
      <c r="J48" s="8" t="s">
        <v>145</v>
      </c>
      <c r="K48" s="8" t="s">
        <v>146</v>
      </c>
      <c r="L48" s="8" t="s">
        <v>134</v>
      </c>
      <c r="M48" s="8" t="s">
        <v>135</v>
      </c>
      <c r="N48" s="8" t="s">
        <v>409</v>
      </c>
      <c r="O48" s="8" t="s">
        <v>410</v>
      </c>
      <c r="P48" s="8" t="s">
        <v>411</v>
      </c>
      <c r="Q48" s="8"/>
      <c r="R48" s="8" t="s">
        <v>52</v>
      </c>
      <c r="S48" s="8" t="s">
        <v>53</v>
      </c>
      <c r="T48" s="8"/>
      <c r="U48" s="8"/>
      <c r="V48" s="8"/>
      <c r="W48" s="8" t="s">
        <v>54</v>
      </c>
      <c r="X48" s="8"/>
      <c r="Y48" s="8" t="s">
        <v>412</v>
      </c>
      <c r="Z48" s="8"/>
      <c r="AA48" s="8" t="s">
        <v>152</v>
      </c>
      <c r="AB48" s="8"/>
      <c r="AC48" s="8"/>
      <c r="AD48" s="8" t="s">
        <v>413</v>
      </c>
      <c r="AE48" s="8" t="s">
        <v>154</v>
      </c>
      <c r="AF48" s="5">
        <v>46020</v>
      </c>
      <c r="AG48" s="5">
        <v>46034</v>
      </c>
      <c r="AH48" s="5"/>
      <c r="AI48" s="8"/>
      <c r="AJ48" s="8" t="s">
        <v>414</v>
      </c>
      <c r="AK48" s="8" t="s">
        <v>415</v>
      </c>
      <c r="AL48" s="8" t="s">
        <v>207</v>
      </c>
      <c r="AM48" s="8" t="s">
        <v>77</v>
      </c>
      <c r="AN48" s="8" t="s">
        <v>77</v>
      </c>
      <c r="AO48" s="8" t="s">
        <v>416</v>
      </c>
    </row>
    <row r="49" spans="1:41" ht="28.5">
      <c r="A49" s="7" t="s">
        <v>417</v>
      </c>
      <c r="B49" s="5">
        <v>46006</v>
      </c>
      <c r="C49" s="17" t="str">
        <f ca="1">IF(B49="","",IF(OR(TRIM(R49)="En curso",TRIM(R49)="En proceso de ingreso"),TODAY()-B49,"Cerrada"))</f>
        <v>Cerrada</v>
      </c>
      <c r="D49" s="8" t="s">
        <v>42</v>
      </c>
      <c r="E49" s="8" t="s">
        <v>43</v>
      </c>
      <c r="F49" s="8"/>
      <c r="G49" s="8"/>
      <c r="H49" s="8"/>
      <c r="I49" s="8"/>
      <c r="J49" s="8" t="s">
        <v>145</v>
      </c>
      <c r="K49" s="8" t="s">
        <v>146</v>
      </c>
      <c r="L49" s="8" t="s">
        <v>134</v>
      </c>
      <c r="M49" s="8" t="s">
        <v>135</v>
      </c>
      <c r="N49" s="8" t="s">
        <v>409</v>
      </c>
      <c r="O49" s="8" t="s">
        <v>410</v>
      </c>
      <c r="P49" s="8" t="s">
        <v>411</v>
      </c>
      <c r="Q49" s="8"/>
      <c r="R49" s="8" t="s">
        <v>52</v>
      </c>
      <c r="S49" s="8" t="s">
        <v>53</v>
      </c>
      <c r="T49" s="8"/>
      <c r="U49" s="8"/>
      <c r="V49" s="8"/>
      <c r="W49" s="8" t="s">
        <v>54</v>
      </c>
      <c r="X49" s="8"/>
      <c r="Y49" s="8"/>
      <c r="Z49" s="8"/>
      <c r="AA49" s="8" t="s">
        <v>152</v>
      </c>
      <c r="AB49" s="8"/>
      <c r="AC49" s="8"/>
      <c r="AD49" s="8" t="s">
        <v>413</v>
      </c>
      <c r="AE49" s="8" t="s">
        <v>154</v>
      </c>
      <c r="AF49" s="5">
        <v>46028</v>
      </c>
      <c r="AG49" s="5">
        <v>46034</v>
      </c>
      <c r="AH49" s="5"/>
      <c r="AI49" s="8"/>
      <c r="AJ49" s="8" t="s">
        <v>418</v>
      </c>
      <c r="AK49" s="8" t="s">
        <v>415</v>
      </c>
      <c r="AL49" s="8" t="s">
        <v>207</v>
      </c>
      <c r="AM49" s="8" t="s">
        <v>77</v>
      </c>
      <c r="AN49" s="8" t="s">
        <v>77</v>
      </c>
      <c r="AO49" s="8" t="s">
        <v>419</v>
      </c>
    </row>
    <row r="50" spans="1:41" ht="28.5">
      <c r="A50" s="7" t="s">
        <v>420</v>
      </c>
      <c r="B50" s="5">
        <v>46007</v>
      </c>
      <c r="C50" s="17" t="str">
        <f ca="1">IF(B50="","",IF(OR(TRIM(R50)="En curso",TRIM(R50)="En proceso de ingreso"),TODAY()-B50,"Cerrada"))</f>
        <v>Cerrada</v>
      </c>
      <c r="D50" s="8" t="s">
        <v>144</v>
      </c>
      <c r="E50" s="8" t="s">
        <v>43</v>
      </c>
      <c r="F50" s="8"/>
      <c r="G50" s="8"/>
      <c r="H50" s="8"/>
      <c r="I50" s="8"/>
      <c r="J50" s="8" t="s">
        <v>145</v>
      </c>
      <c r="K50" s="8" t="s">
        <v>146</v>
      </c>
      <c r="L50" s="8" t="s">
        <v>222</v>
      </c>
      <c r="M50" s="8" t="s">
        <v>212</v>
      </c>
      <c r="N50" s="8" t="s">
        <v>223</v>
      </c>
      <c r="O50" s="8" t="s">
        <v>224</v>
      </c>
      <c r="P50" s="8" t="s">
        <v>225</v>
      </c>
      <c r="Q50" s="8"/>
      <c r="R50" s="8" t="s">
        <v>52</v>
      </c>
      <c r="S50" s="8" t="s">
        <v>53</v>
      </c>
      <c r="T50" s="8"/>
      <c r="U50" s="8" t="s">
        <v>69</v>
      </c>
      <c r="V50" s="8" t="s">
        <v>70</v>
      </c>
      <c r="W50" s="8" t="s">
        <v>54</v>
      </c>
      <c r="X50" s="8"/>
      <c r="Y50" s="8" t="s">
        <v>421</v>
      </c>
      <c r="Z50" s="8"/>
      <c r="AA50" s="8" t="s">
        <v>56</v>
      </c>
      <c r="AB50" s="8"/>
      <c r="AC50" s="8"/>
      <c r="AD50" s="8" t="s">
        <v>382</v>
      </c>
      <c r="AE50" s="8" t="s">
        <v>154</v>
      </c>
      <c r="AF50" s="5">
        <v>46092</v>
      </c>
      <c r="AG50" s="5">
        <v>46104</v>
      </c>
      <c r="AH50" s="5"/>
      <c r="AI50" s="8"/>
      <c r="AJ50" s="8" t="s">
        <v>422</v>
      </c>
      <c r="AK50" s="8" t="s">
        <v>423</v>
      </c>
      <c r="AL50" s="8" t="s">
        <v>207</v>
      </c>
      <c r="AM50" s="8" t="s">
        <v>77</v>
      </c>
      <c r="AN50" s="8" t="s">
        <v>77</v>
      </c>
      <c r="AO50" s="8"/>
    </row>
    <row r="51" spans="1:41" ht="28.5">
      <c r="A51" s="7" t="s">
        <v>424</v>
      </c>
      <c r="B51" s="5">
        <v>46009</v>
      </c>
      <c r="C51" s="17" t="str">
        <f ca="1">IF(B51="","",IF(OR(TRIM(R51)="En curso",TRIM(R51)="En proceso de ingreso"),TODAY()-B51,"Cerrada"))</f>
        <v>Cerrada</v>
      </c>
      <c r="D51" s="8" t="s">
        <v>144</v>
      </c>
      <c r="E51" s="8" t="s">
        <v>43</v>
      </c>
      <c r="F51" s="8"/>
      <c r="G51" s="8"/>
      <c r="H51" s="8"/>
      <c r="I51" s="8"/>
      <c r="J51" s="8" t="s">
        <v>145</v>
      </c>
      <c r="K51" s="8" t="s">
        <v>146</v>
      </c>
      <c r="L51" s="8" t="s">
        <v>198</v>
      </c>
      <c r="M51" s="8" t="s">
        <v>199</v>
      </c>
      <c r="N51" s="8" t="s">
        <v>200</v>
      </c>
      <c r="O51" s="8" t="s">
        <v>201</v>
      </c>
      <c r="P51" s="8" t="s">
        <v>202</v>
      </c>
      <c r="Q51" s="8"/>
      <c r="R51" s="8" t="s">
        <v>52</v>
      </c>
      <c r="S51" s="8" t="s">
        <v>53</v>
      </c>
      <c r="T51" s="8"/>
      <c r="U51" s="8"/>
      <c r="V51" s="8"/>
      <c r="W51" s="8" t="s">
        <v>54</v>
      </c>
      <c r="X51" s="8"/>
      <c r="Y51" s="8" t="s">
        <v>425</v>
      </c>
      <c r="Z51" s="8"/>
      <c r="AA51" s="8" t="s">
        <v>152</v>
      </c>
      <c r="AB51" s="8"/>
      <c r="AC51" s="8"/>
      <c r="AD51" s="8" t="s">
        <v>382</v>
      </c>
      <c r="AE51" s="8" t="s">
        <v>154</v>
      </c>
      <c r="AF51" s="5">
        <v>46027</v>
      </c>
      <c r="AG51" s="5">
        <v>46028</v>
      </c>
      <c r="AH51" s="5"/>
      <c r="AI51" s="8"/>
      <c r="AJ51" s="8" t="s">
        <v>426</v>
      </c>
      <c r="AK51" s="8" t="s">
        <v>427</v>
      </c>
      <c r="AL51" s="8" t="s">
        <v>207</v>
      </c>
      <c r="AM51" s="8" t="s">
        <v>77</v>
      </c>
      <c r="AN51" s="8"/>
      <c r="AO51" s="8" t="s">
        <v>428</v>
      </c>
    </row>
    <row r="52" spans="1:41" ht="28.5">
      <c r="A52" s="7" t="s">
        <v>429</v>
      </c>
      <c r="B52" s="5">
        <v>46009</v>
      </c>
      <c r="C52" s="17" t="str">
        <f ca="1">IF(B52="","",IF(OR(TRIM(R52)="En curso",TRIM(R52)="En proceso de ingreso"),TODAY()-B52,"Cerrada"))</f>
        <v>Cerrada</v>
      </c>
      <c r="D52" s="8" t="s">
        <v>144</v>
      </c>
      <c r="E52" s="8" t="s">
        <v>43</v>
      </c>
      <c r="F52" s="8"/>
      <c r="G52" s="8"/>
      <c r="H52" s="8"/>
      <c r="I52" s="8"/>
      <c r="J52" s="8" t="s">
        <v>145</v>
      </c>
      <c r="K52" s="8" t="s">
        <v>146</v>
      </c>
      <c r="L52" s="8" t="s">
        <v>198</v>
      </c>
      <c r="M52" s="8" t="s">
        <v>199</v>
      </c>
      <c r="N52" s="8" t="s">
        <v>200</v>
      </c>
      <c r="O52" s="8" t="s">
        <v>201</v>
      </c>
      <c r="P52" s="8" t="s">
        <v>202</v>
      </c>
      <c r="Q52" s="8"/>
      <c r="R52" s="8" t="s">
        <v>52</v>
      </c>
      <c r="S52" s="8" t="s">
        <v>53</v>
      </c>
      <c r="T52" s="8"/>
      <c r="U52" s="8"/>
      <c r="V52" s="8"/>
      <c r="W52" s="8" t="s">
        <v>54</v>
      </c>
      <c r="X52" s="8"/>
      <c r="Y52" s="8" t="s">
        <v>430</v>
      </c>
      <c r="Z52" s="8"/>
      <c r="AA52" s="8" t="s">
        <v>152</v>
      </c>
      <c r="AB52" s="8"/>
      <c r="AC52" s="8"/>
      <c r="AD52" s="8" t="s">
        <v>382</v>
      </c>
      <c r="AE52" s="8" t="s">
        <v>154</v>
      </c>
      <c r="AF52" s="5">
        <v>46027</v>
      </c>
      <c r="AG52" s="5">
        <v>46028</v>
      </c>
      <c r="AH52" s="5"/>
      <c r="AI52" s="8"/>
      <c r="AJ52" s="8" t="s">
        <v>431</v>
      </c>
      <c r="AK52" s="8" t="s">
        <v>427</v>
      </c>
      <c r="AL52" s="8" t="s">
        <v>207</v>
      </c>
      <c r="AM52" s="8" t="s">
        <v>77</v>
      </c>
      <c r="AN52" s="8"/>
      <c r="AO52" s="8" t="s">
        <v>428</v>
      </c>
    </row>
    <row r="53" spans="1:41" ht="28.5">
      <c r="A53" s="7" t="s">
        <v>432</v>
      </c>
      <c r="B53" s="5">
        <v>46010</v>
      </c>
      <c r="C53" s="17" t="str">
        <f ca="1">IF(B53="","",IF(OR(TRIM(R53)="En curso",TRIM(R53)="En proceso de ingreso"),TODAY()-B53,"Cerrada"))</f>
        <v>Cerrada</v>
      </c>
      <c r="D53" s="8" t="s">
        <v>144</v>
      </c>
      <c r="E53" s="8" t="s">
        <v>43</v>
      </c>
      <c r="F53" s="8"/>
      <c r="G53" s="8"/>
      <c r="H53" s="8"/>
      <c r="I53" s="8"/>
      <c r="J53" s="8" t="s">
        <v>145</v>
      </c>
      <c r="K53" s="8" t="s">
        <v>146</v>
      </c>
      <c r="L53" s="8" t="s">
        <v>222</v>
      </c>
      <c r="M53" s="8" t="s">
        <v>199</v>
      </c>
      <c r="N53" s="8" t="s">
        <v>223</v>
      </c>
      <c r="O53" s="8" t="s">
        <v>433</v>
      </c>
      <c r="P53" s="8" t="s">
        <v>225</v>
      </c>
      <c r="Q53" s="8"/>
      <c r="R53" s="8" t="s">
        <v>52</v>
      </c>
      <c r="S53" s="8" t="s">
        <v>53</v>
      </c>
      <c r="T53" s="8"/>
      <c r="U53" s="8"/>
      <c r="V53" s="8"/>
      <c r="W53" s="8" t="s">
        <v>54</v>
      </c>
      <c r="X53" s="8"/>
      <c r="Y53" s="8" t="s">
        <v>434</v>
      </c>
      <c r="Z53" s="8"/>
      <c r="AA53" s="8" t="s">
        <v>173</v>
      </c>
      <c r="AB53" s="8"/>
      <c r="AC53" s="8"/>
      <c r="AD53" s="8" t="s">
        <v>435</v>
      </c>
      <c r="AE53" s="8" t="s">
        <v>154</v>
      </c>
      <c r="AF53" s="5">
        <v>46037</v>
      </c>
      <c r="AG53" s="5">
        <v>46055</v>
      </c>
      <c r="AH53" s="5"/>
      <c r="AI53" s="8"/>
      <c r="AJ53" s="8" t="s">
        <v>436</v>
      </c>
      <c r="AK53" s="8" t="s">
        <v>437</v>
      </c>
      <c r="AL53" s="8" t="s">
        <v>207</v>
      </c>
      <c r="AM53" s="8" t="s">
        <v>77</v>
      </c>
      <c r="AN53" s="8"/>
      <c r="AO53" s="8"/>
    </row>
    <row r="54" spans="1:41" ht="28.5">
      <c r="A54" s="7" t="s">
        <v>438</v>
      </c>
      <c r="B54" s="5">
        <v>46011</v>
      </c>
      <c r="C54" s="17" t="str">
        <f ca="1">IF(B54="","",IF(OR(TRIM(R54)="En curso",TRIM(R54)="En proceso de ingreso"),TODAY()-B54,"Cerrada"))</f>
        <v>Cerrada</v>
      </c>
      <c r="D54" s="8" t="s">
        <v>42</v>
      </c>
      <c r="E54" s="8" t="s">
        <v>43</v>
      </c>
      <c r="F54" s="8"/>
      <c r="G54" s="8"/>
      <c r="H54" s="8"/>
      <c r="I54" s="8"/>
      <c r="J54" s="8" t="s">
        <v>145</v>
      </c>
      <c r="K54" s="8" t="s">
        <v>439</v>
      </c>
      <c r="L54" s="8" t="s">
        <v>440</v>
      </c>
      <c r="M54" s="8" t="s">
        <v>135</v>
      </c>
      <c r="N54" s="8" t="s">
        <v>409</v>
      </c>
      <c r="O54" s="8" t="s">
        <v>441</v>
      </c>
      <c r="P54" s="8" t="s">
        <v>442</v>
      </c>
      <c r="Q54" s="8"/>
      <c r="R54" s="8" t="s">
        <v>52</v>
      </c>
      <c r="S54" s="8" t="s">
        <v>53</v>
      </c>
      <c r="T54" s="8"/>
      <c r="U54" s="8"/>
      <c r="V54" s="8"/>
      <c r="W54" s="8" t="s">
        <v>54</v>
      </c>
      <c r="X54" s="8"/>
      <c r="Y54" s="8" t="s">
        <v>443</v>
      </c>
      <c r="Z54" s="8"/>
      <c r="AA54" s="11" t="s">
        <v>56</v>
      </c>
      <c r="AB54" s="8"/>
      <c r="AC54" s="8"/>
      <c r="AD54" s="8" t="s">
        <v>444</v>
      </c>
      <c r="AE54" s="8" t="s">
        <v>175</v>
      </c>
      <c r="AF54" s="5">
        <v>46030</v>
      </c>
      <c r="AG54" s="5">
        <v>46041</v>
      </c>
      <c r="AH54" s="5"/>
      <c r="AI54" s="8"/>
      <c r="AJ54" s="8" t="s">
        <v>445</v>
      </c>
      <c r="AK54" s="8" t="s">
        <v>446</v>
      </c>
      <c r="AL54" s="8" t="s">
        <v>207</v>
      </c>
      <c r="AM54" s="8" t="s">
        <v>44</v>
      </c>
      <c r="AN54" s="8" t="s">
        <v>44</v>
      </c>
      <c r="AO54" s="8" t="s">
        <v>447</v>
      </c>
    </row>
    <row r="55" spans="1:41" ht="28.5">
      <c r="A55" s="7" t="s">
        <v>448</v>
      </c>
      <c r="B55" s="5">
        <v>46011</v>
      </c>
      <c r="C55" s="17" t="str">
        <f ca="1">IF(B55="","",IF(OR(TRIM(R55)="En curso",TRIM(R55)="En proceso de ingreso"),TODAY()-B55,"Cerrada"))</f>
        <v>Cerrada</v>
      </c>
      <c r="D55" s="8" t="s">
        <v>144</v>
      </c>
      <c r="E55" s="8" t="s">
        <v>43</v>
      </c>
      <c r="F55" s="8"/>
      <c r="G55" s="8"/>
      <c r="H55" s="8"/>
      <c r="I55" s="8"/>
      <c r="J55" s="8" t="s">
        <v>145</v>
      </c>
      <c r="K55" s="8" t="s">
        <v>146</v>
      </c>
      <c r="L55" s="8" t="s">
        <v>222</v>
      </c>
      <c r="M55" s="8" t="s">
        <v>199</v>
      </c>
      <c r="N55" s="8" t="s">
        <v>223</v>
      </c>
      <c r="O55" s="8" t="s">
        <v>433</v>
      </c>
      <c r="P55" s="8" t="s">
        <v>225</v>
      </c>
      <c r="Q55" s="8"/>
      <c r="R55" s="8" t="s">
        <v>52</v>
      </c>
      <c r="S55" s="8" t="s">
        <v>53</v>
      </c>
      <c r="T55" s="8"/>
      <c r="U55" s="8"/>
      <c r="V55" s="8"/>
      <c r="W55" s="8" t="s">
        <v>54</v>
      </c>
      <c r="X55" s="8"/>
      <c r="Y55" s="8" t="s">
        <v>449</v>
      </c>
      <c r="Z55" s="8"/>
      <c r="AA55" s="8" t="s">
        <v>173</v>
      </c>
      <c r="AB55" s="8"/>
      <c r="AC55" s="8"/>
      <c r="AD55" s="8" t="s">
        <v>450</v>
      </c>
      <c r="AE55" s="8" t="s">
        <v>154</v>
      </c>
      <c r="AF55" s="5">
        <v>46037</v>
      </c>
      <c r="AG55" s="5">
        <v>46055</v>
      </c>
      <c r="AH55" s="5"/>
      <c r="AI55" s="8"/>
      <c r="AJ55" s="8" t="s">
        <v>451</v>
      </c>
      <c r="AK55" s="8" t="s">
        <v>437</v>
      </c>
      <c r="AL55" s="8" t="s">
        <v>207</v>
      </c>
      <c r="AM55" s="8" t="s">
        <v>77</v>
      </c>
      <c r="AN55" s="8"/>
      <c r="AO55" s="8"/>
    </row>
    <row r="56" spans="1:41" ht="28.5">
      <c r="A56" s="7" t="s">
        <v>452</v>
      </c>
      <c r="B56" s="5">
        <v>46013</v>
      </c>
      <c r="C56" s="17" t="str">
        <f ca="1">IF(B56="","",IF(OR(TRIM(R56)="En curso",TRIM(R56)="En proceso de ingreso"),TODAY()-B56,"Cerrada"))</f>
        <v>Cerrada</v>
      </c>
      <c r="D56" s="8" t="s">
        <v>144</v>
      </c>
      <c r="E56" s="8" t="s">
        <v>43</v>
      </c>
      <c r="F56" s="8"/>
      <c r="G56" s="8"/>
      <c r="H56" s="8"/>
      <c r="I56" s="8"/>
      <c r="J56" s="8" t="s">
        <v>145</v>
      </c>
      <c r="K56" s="8" t="s">
        <v>146</v>
      </c>
      <c r="L56" s="8" t="s">
        <v>222</v>
      </c>
      <c r="M56" s="8" t="s">
        <v>212</v>
      </c>
      <c r="N56" s="8" t="s">
        <v>223</v>
      </c>
      <c r="O56" s="8" t="s">
        <v>224</v>
      </c>
      <c r="P56" s="8" t="s">
        <v>225</v>
      </c>
      <c r="Q56" s="8"/>
      <c r="R56" s="8" t="s">
        <v>52</v>
      </c>
      <c r="S56" s="8" t="s">
        <v>53</v>
      </c>
      <c r="T56" s="8"/>
      <c r="U56" s="8"/>
      <c r="V56" s="8"/>
      <c r="W56" s="8" t="s">
        <v>54</v>
      </c>
      <c r="X56" s="8"/>
      <c r="Y56" s="8" t="s">
        <v>453</v>
      </c>
      <c r="Z56" s="8"/>
      <c r="AA56" s="8" t="s">
        <v>152</v>
      </c>
      <c r="AB56" s="8"/>
      <c r="AC56" s="8"/>
      <c r="AD56" s="8" t="s">
        <v>227</v>
      </c>
      <c r="AE56" s="8" t="s">
        <v>154</v>
      </c>
      <c r="AF56" s="5">
        <v>46072</v>
      </c>
      <c r="AG56" s="5">
        <v>46076</v>
      </c>
      <c r="AH56" s="5"/>
      <c r="AI56" s="8"/>
      <c r="AJ56" s="8" t="s">
        <v>454</v>
      </c>
      <c r="AK56" s="8" t="s">
        <v>455</v>
      </c>
      <c r="AL56" s="8" t="s">
        <v>207</v>
      </c>
      <c r="AM56" s="8" t="s">
        <v>77</v>
      </c>
      <c r="AN56" s="8"/>
      <c r="AO56" s="8" t="s">
        <v>456</v>
      </c>
    </row>
    <row r="57" spans="1:41" ht="28.5">
      <c r="A57" s="7" t="s">
        <v>457</v>
      </c>
      <c r="B57" s="5">
        <v>46013</v>
      </c>
      <c r="C57" s="17" t="str">
        <f ca="1">IF(B57="","",IF(OR(TRIM(R57)="En curso",TRIM(R57)="En proceso de ingreso"),TODAY()-B57,"Cerrada"))</f>
        <v>Cerrada</v>
      </c>
      <c r="D57" s="8" t="s">
        <v>144</v>
      </c>
      <c r="E57" s="8" t="s">
        <v>43</v>
      </c>
      <c r="F57" s="8"/>
      <c r="G57" s="8"/>
      <c r="H57" s="8"/>
      <c r="I57" s="8"/>
      <c r="J57" s="8" t="s">
        <v>145</v>
      </c>
      <c r="K57" s="8" t="s">
        <v>146</v>
      </c>
      <c r="L57" s="8" t="s">
        <v>222</v>
      </c>
      <c r="M57" s="8" t="s">
        <v>348</v>
      </c>
      <c r="N57" s="8" t="s">
        <v>223</v>
      </c>
      <c r="O57" s="8" t="s">
        <v>458</v>
      </c>
      <c r="P57" s="8" t="s">
        <v>225</v>
      </c>
      <c r="Q57" s="8"/>
      <c r="R57" s="8" t="s">
        <v>52</v>
      </c>
      <c r="S57" s="8" t="s">
        <v>53</v>
      </c>
      <c r="T57" s="8"/>
      <c r="U57" s="8"/>
      <c r="V57" s="8"/>
      <c r="W57" s="8" t="s">
        <v>54</v>
      </c>
      <c r="X57" s="8"/>
      <c r="Y57" s="8" t="s">
        <v>459</v>
      </c>
      <c r="Z57" s="8"/>
      <c r="AA57" s="8" t="s">
        <v>173</v>
      </c>
      <c r="AB57" s="8"/>
      <c r="AC57" s="8"/>
      <c r="AD57" s="8" t="s">
        <v>460</v>
      </c>
      <c r="AE57" s="8" t="s">
        <v>154</v>
      </c>
      <c r="AF57" s="5">
        <v>46049</v>
      </c>
      <c r="AG57" s="5">
        <v>46055</v>
      </c>
      <c r="AH57" s="5"/>
      <c r="AI57" s="8"/>
      <c r="AJ57" s="8" t="s">
        <v>461</v>
      </c>
      <c r="AK57" s="8" t="s">
        <v>462</v>
      </c>
      <c r="AL57" s="8" t="s">
        <v>207</v>
      </c>
      <c r="AM57" s="8" t="s">
        <v>77</v>
      </c>
      <c r="AN57" s="8"/>
      <c r="AO57" s="8"/>
    </row>
    <row r="58" spans="1:41" ht="28.5">
      <c r="A58" s="7" t="s">
        <v>463</v>
      </c>
      <c r="B58" s="5">
        <v>46013</v>
      </c>
      <c r="C58" s="17" t="str">
        <f ca="1">IF(B58="","",IF(OR(TRIM(R58)="En curso",TRIM(R58)="En proceso de ingreso"),TODAY()-B58,"Cerrada"))</f>
        <v>Cerrada</v>
      </c>
      <c r="D58" s="8" t="s">
        <v>42</v>
      </c>
      <c r="E58" s="8" t="s">
        <v>43</v>
      </c>
      <c r="F58" s="8"/>
      <c r="G58" s="8" t="s">
        <v>44</v>
      </c>
      <c r="H58" s="8"/>
      <c r="I58" s="8"/>
      <c r="J58" s="8" t="s">
        <v>45</v>
      </c>
      <c r="K58" s="8" t="s">
        <v>46</v>
      </c>
      <c r="L58" s="8" t="s">
        <v>47</v>
      </c>
      <c r="M58" s="8" t="s">
        <v>48</v>
      </c>
      <c r="N58" s="8" t="s">
        <v>49</v>
      </c>
      <c r="O58" s="8" t="s">
        <v>50</v>
      </c>
      <c r="P58" s="8" t="s">
        <v>51</v>
      </c>
      <c r="Q58" s="8"/>
      <c r="R58" s="8" t="s">
        <v>52</v>
      </c>
      <c r="S58" s="8" t="s">
        <v>53</v>
      </c>
      <c r="T58" s="8"/>
      <c r="U58" s="8"/>
      <c r="V58" s="8"/>
      <c r="W58" s="8" t="s">
        <v>54</v>
      </c>
      <c r="X58" s="8"/>
      <c r="Y58" s="8" t="s">
        <v>464</v>
      </c>
      <c r="Z58" s="8"/>
      <c r="AA58" s="8" t="s">
        <v>56</v>
      </c>
      <c r="AB58" s="8"/>
      <c r="AC58" s="8"/>
      <c r="AD58" s="8" t="s">
        <v>57</v>
      </c>
      <c r="AE58" s="8" t="s">
        <v>58</v>
      </c>
      <c r="AF58" s="5">
        <v>46044</v>
      </c>
      <c r="AG58" s="5">
        <v>46056</v>
      </c>
      <c r="AH58" s="5"/>
      <c r="AI58" s="8"/>
      <c r="AJ58" s="8" t="s">
        <v>465</v>
      </c>
      <c r="AK58" s="8" t="s">
        <v>60</v>
      </c>
      <c r="AL58" s="8" t="s">
        <v>61</v>
      </c>
      <c r="AM58" s="8" t="s">
        <v>44</v>
      </c>
      <c r="AN58" s="8" t="s">
        <v>44</v>
      </c>
      <c r="AO58" s="8"/>
    </row>
    <row r="59" spans="1:41" ht="72">
      <c r="A59" s="7" t="s">
        <v>466</v>
      </c>
      <c r="B59" s="5">
        <v>46013</v>
      </c>
      <c r="C59" s="17" t="str">
        <f ca="1">IF(B59="","",IF(OR(TRIM(R59)="En curso",TRIM(R59)="En proceso de ingreso"),TODAY()-B59,"Cerrada"))</f>
        <v>Cerrada</v>
      </c>
      <c r="D59" s="8" t="s">
        <v>467</v>
      </c>
      <c r="E59" s="8" t="s">
        <v>43</v>
      </c>
      <c r="F59" s="8"/>
      <c r="G59" s="8" t="s">
        <v>44</v>
      </c>
      <c r="H59" s="8" t="s">
        <v>44</v>
      </c>
      <c r="I59" s="8"/>
      <c r="J59" s="8" t="s">
        <v>45</v>
      </c>
      <c r="K59" s="8" t="s">
        <v>46</v>
      </c>
      <c r="L59" s="8" t="s">
        <v>468</v>
      </c>
      <c r="M59" s="8" t="s">
        <v>270</v>
      </c>
      <c r="N59" s="8" t="s">
        <v>469</v>
      </c>
      <c r="O59" s="8" t="s">
        <v>470</v>
      </c>
      <c r="P59" s="8" t="s">
        <v>471</v>
      </c>
      <c r="Q59" s="8"/>
      <c r="R59" s="8" t="s">
        <v>52</v>
      </c>
      <c r="S59" s="8" t="s">
        <v>53</v>
      </c>
      <c r="T59" s="8"/>
      <c r="U59" s="8" t="s">
        <v>138</v>
      </c>
      <c r="V59" s="8" t="s">
        <v>472</v>
      </c>
      <c r="W59" s="8" t="s">
        <v>54</v>
      </c>
      <c r="X59" s="8"/>
      <c r="Y59" s="8" t="s">
        <v>473</v>
      </c>
      <c r="Z59" s="8"/>
      <c r="AA59" s="8" t="s">
        <v>474</v>
      </c>
      <c r="AB59" s="8"/>
      <c r="AC59" s="8"/>
      <c r="AD59" s="8" t="s">
        <v>475</v>
      </c>
      <c r="AE59" s="8" t="s">
        <v>127</v>
      </c>
      <c r="AF59" s="5">
        <v>46120</v>
      </c>
      <c r="AG59" s="5">
        <v>46132</v>
      </c>
      <c r="AH59" s="5" t="s">
        <v>73</v>
      </c>
      <c r="AI59" s="8" t="s">
        <v>74</v>
      </c>
      <c r="AJ59" s="8" t="s">
        <v>476</v>
      </c>
      <c r="AK59" s="8" t="s">
        <v>477</v>
      </c>
      <c r="AL59" s="8" t="s">
        <v>116</v>
      </c>
      <c r="AM59" s="8" t="s">
        <v>118</v>
      </c>
      <c r="AN59" s="8" t="s">
        <v>77</v>
      </c>
      <c r="AO59" s="8" t="s">
        <v>478</v>
      </c>
    </row>
    <row r="60" spans="1:41" ht="28.5">
      <c r="A60" s="7" t="s">
        <v>479</v>
      </c>
      <c r="B60" s="5">
        <v>46014</v>
      </c>
      <c r="C60" s="17" t="str">
        <f ca="1">IF(B60="","",IF(OR(TRIM(R60)="En curso",TRIM(R60)="En proceso de ingreso"),TODAY()-B60,"Cerrada"))</f>
        <v>Cerrada</v>
      </c>
      <c r="D60" s="8" t="s">
        <v>144</v>
      </c>
      <c r="E60" s="8" t="s">
        <v>43</v>
      </c>
      <c r="F60" s="8"/>
      <c r="G60" s="8"/>
      <c r="H60" s="8"/>
      <c r="I60" s="8"/>
      <c r="J60" s="8" t="s">
        <v>145</v>
      </c>
      <c r="K60" s="8" t="s">
        <v>146</v>
      </c>
      <c r="L60" s="8" t="s">
        <v>198</v>
      </c>
      <c r="M60" s="8" t="s">
        <v>199</v>
      </c>
      <c r="N60" s="8" t="s">
        <v>200</v>
      </c>
      <c r="O60" s="8" t="s">
        <v>201</v>
      </c>
      <c r="P60" s="8" t="s">
        <v>202</v>
      </c>
      <c r="Q60" s="8"/>
      <c r="R60" s="8" t="s">
        <v>52</v>
      </c>
      <c r="S60" s="8" t="s">
        <v>53</v>
      </c>
      <c r="T60" s="8"/>
      <c r="U60" s="8"/>
      <c r="V60" s="8"/>
      <c r="W60" s="8" t="s">
        <v>54</v>
      </c>
      <c r="X60" s="8"/>
      <c r="Y60" s="8" t="s">
        <v>480</v>
      </c>
      <c r="Z60" s="8"/>
      <c r="AA60" s="8" t="s">
        <v>152</v>
      </c>
      <c r="AB60" s="8"/>
      <c r="AC60" s="8"/>
      <c r="AD60" s="8" t="s">
        <v>382</v>
      </c>
      <c r="AE60" s="8" t="s">
        <v>154</v>
      </c>
      <c r="AF60" s="5">
        <v>46037</v>
      </c>
      <c r="AG60" s="5">
        <v>46045</v>
      </c>
      <c r="AH60" s="5"/>
      <c r="AI60" s="8"/>
      <c r="AJ60" s="8" t="s">
        <v>481</v>
      </c>
      <c r="AK60" s="8" t="s">
        <v>482</v>
      </c>
      <c r="AL60" s="8" t="s">
        <v>207</v>
      </c>
      <c r="AM60" s="8" t="s">
        <v>77</v>
      </c>
      <c r="AN60" s="8"/>
      <c r="AO60" s="8"/>
    </row>
    <row r="61" spans="1:41" ht="28.5">
      <c r="A61" s="7" t="s">
        <v>483</v>
      </c>
      <c r="B61" s="5">
        <v>46017</v>
      </c>
      <c r="C61" s="17" t="str">
        <f ca="1">IF(B61="","",IF(OR(TRIM(R61)="En curso",TRIM(R61)="En proceso de ingreso"),TODAY()-B61,"Cerrada"))</f>
        <v>Cerrada</v>
      </c>
      <c r="D61" s="8" t="s">
        <v>144</v>
      </c>
      <c r="E61" s="8" t="s">
        <v>43</v>
      </c>
      <c r="F61" s="8"/>
      <c r="G61" s="8"/>
      <c r="H61" s="8"/>
      <c r="I61" s="8"/>
      <c r="J61" s="8" t="s">
        <v>145</v>
      </c>
      <c r="K61" s="8" t="s">
        <v>146</v>
      </c>
      <c r="L61" s="8" t="s">
        <v>222</v>
      </c>
      <c r="M61" s="8" t="s">
        <v>135</v>
      </c>
      <c r="N61" s="8" t="s">
        <v>200</v>
      </c>
      <c r="O61" s="8" t="s">
        <v>484</v>
      </c>
      <c r="P61" s="8" t="s">
        <v>225</v>
      </c>
      <c r="Q61" s="8"/>
      <c r="R61" s="8" t="s">
        <v>52</v>
      </c>
      <c r="S61" s="8" t="s">
        <v>53</v>
      </c>
      <c r="T61" s="8"/>
      <c r="U61" s="8"/>
      <c r="V61" s="8"/>
      <c r="W61" s="8" t="s">
        <v>54</v>
      </c>
      <c r="X61" s="8"/>
      <c r="Y61" s="8" t="s">
        <v>485</v>
      </c>
      <c r="Z61" s="8"/>
      <c r="AA61" s="8" t="s">
        <v>173</v>
      </c>
      <c r="AB61" s="8"/>
      <c r="AC61" s="8"/>
      <c r="AD61" s="8" t="s">
        <v>486</v>
      </c>
      <c r="AE61" s="8" t="s">
        <v>154</v>
      </c>
      <c r="AF61" s="5">
        <v>46021</v>
      </c>
      <c r="AG61" s="5">
        <v>46028</v>
      </c>
      <c r="AH61" s="5"/>
      <c r="AI61" s="8"/>
      <c r="AJ61" s="8" t="s">
        <v>487</v>
      </c>
      <c r="AK61" s="8" t="s">
        <v>488</v>
      </c>
      <c r="AL61" s="8" t="s">
        <v>207</v>
      </c>
      <c r="AM61" s="8" t="s">
        <v>77</v>
      </c>
      <c r="AN61" s="8"/>
      <c r="AO61" s="8" t="s">
        <v>489</v>
      </c>
    </row>
    <row r="62" spans="1:41" ht="28.5">
      <c r="A62" s="7" t="s">
        <v>490</v>
      </c>
      <c r="B62" s="5">
        <v>46017</v>
      </c>
      <c r="C62" s="17" t="str">
        <f ca="1">IF(B62="","",IF(OR(TRIM(R62)="En curso",TRIM(R62)="En proceso de ingreso"),TODAY()-B62,"Cerrada"))</f>
        <v>Cerrada</v>
      </c>
      <c r="D62" s="8" t="s">
        <v>144</v>
      </c>
      <c r="E62" s="8" t="s">
        <v>43</v>
      </c>
      <c r="F62" s="8"/>
      <c r="G62" s="8"/>
      <c r="H62" s="8"/>
      <c r="I62" s="8"/>
      <c r="J62" s="8" t="s">
        <v>145</v>
      </c>
      <c r="K62" s="8" t="s">
        <v>146</v>
      </c>
      <c r="L62" s="8" t="s">
        <v>222</v>
      </c>
      <c r="M62" s="8" t="s">
        <v>135</v>
      </c>
      <c r="N62" s="8" t="s">
        <v>200</v>
      </c>
      <c r="O62" s="8" t="s">
        <v>484</v>
      </c>
      <c r="P62" s="8" t="s">
        <v>225</v>
      </c>
      <c r="Q62" s="8"/>
      <c r="R62" s="8" t="s">
        <v>52</v>
      </c>
      <c r="S62" s="8" t="s">
        <v>53</v>
      </c>
      <c r="T62" s="8"/>
      <c r="U62" s="8"/>
      <c r="V62" s="8"/>
      <c r="W62" s="8" t="s">
        <v>54</v>
      </c>
      <c r="X62" s="8"/>
      <c r="Y62" s="8" t="s">
        <v>491</v>
      </c>
      <c r="Z62" s="8"/>
      <c r="AA62" s="8" t="s">
        <v>152</v>
      </c>
      <c r="AB62" s="8"/>
      <c r="AC62" s="8"/>
      <c r="AD62" s="8" t="s">
        <v>492</v>
      </c>
      <c r="AE62" s="8" t="s">
        <v>154</v>
      </c>
      <c r="AF62" s="5">
        <v>46035</v>
      </c>
      <c r="AG62" s="5">
        <v>46041</v>
      </c>
      <c r="AH62" s="5"/>
      <c r="AI62" s="8"/>
      <c r="AJ62" s="8" t="s">
        <v>493</v>
      </c>
      <c r="AK62" s="8" t="s">
        <v>494</v>
      </c>
      <c r="AL62" s="8" t="s">
        <v>207</v>
      </c>
      <c r="AM62" s="8" t="s">
        <v>77</v>
      </c>
      <c r="AN62" s="8"/>
      <c r="AO62" s="8" t="s">
        <v>495</v>
      </c>
    </row>
    <row r="63" spans="1:41" ht="28.5">
      <c r="A63" s="7" t="s">
        <v>496</v>
      </c>
      <c r="B63" s="5">
        <v>46017</v>
      </c>
      <c r="C63" s="17" t="str">
        <f ca="1">IF(B63="","",IF(OR(TRIM(R63)="En curso",TRIM(R63)="En proceso de ingreso"),TODAY()-B63,"Cerrada"))</f>
        <v>Cerrada</v>
      </c>
      <c r="D63" s="8" t="s">
        <v>144</v>
      </c>
      <c r="E63" s="8" t="s">
        <v>43</v>
      </c>
      <c r="F63" s="8"/>
      <c r="G63" s="8"/>
      <c r="H63" s="8"/>
      <c r="I63" s="8"/>
      <c r="J63" s="8" t="s">
        <v>145</v>
      </c>
      <c r="K63" s="8" t="s">
        <v>146</v>
      </c>
      <c r="L63" s="8" t="s">
        <v>198</v>
      </c>
      <c r="M63" s="8" t="s">
        <v>199</v>
      </c>
      <c r="N63" s="8" t="s">
        <v>200</v>
      </c>
      <c r="O63" s="8" t="s">
        <v>201</v>
      </c>
      <c r="P63" s="8" t="s">
        <v>202</v>
      </c>
      <c r="Q63" s="8"/>
      <c r="R63" s="8" t="s">
        <v>52</v>
      </c>
      <c r="S63" s="8" t="s">
        <v>53</v>
      </c>
      <c r="T63" s="8"/>
      <c r="U63" s="8"/>
      <c r="V63" s="8"/>
      <c r="W63" s="8" t="s">
        <v>54</v>
      </c>
      <c r="X63" s="8"/>
      <c r="Y63" s="8" t="s">
        <v>497</v>
      </c>
      <c r="Z63" s="8"/>
      <c r="AA63" s="8" t="s">
        <v>152</v>
      </c>
      <c r="AB63" s="8"/>
      <c r="AC63" s="8"/>
      <c r="AD63" s="8" t="s">
        <v>382</v>
      </c>
      <c r="AE63" s="8" t="s">
        <v>154</v>
      </c>
      <c r="AF63" s="5">
        <v>46028</v>
      </c>
      <c r="AG63" s="5">
        <v>46041</v>
      </c>
      <c r="AH63" s="5"/>
      <c r="AI63" s="8"/>
      <c r="AJ63" s="8" t="s">
        <v>498</v>
      </c>
      <c r="AK63" s="8" t="s">
        <v>384</v>
      </c>
      <c r="AL63" s="8" t="s">
        <v>207</v>
      </c>
      <c r="AM63" s="8" t="s">
        <v>77</v>
      </c>
      <c r="AN63" s="8"/>
      <c r="AO63" s="8" t="s">
        <v>428</v>
      </c>
    </row>
    <row r="64" spans="1:41" ht="28.5">
      <c r="A64" s="7" t="s">
        <v>499</v>
      </c>
      <c r="B64" s="5">
        <v>46017</v>
      </c>
      <c r="C64" s="17" t="str">
        <f ca="1">IF(B64="","",IF(OR(TRIM(R64)="En curso",TRIM(R64)="En proceso de ingreso"),TODAY()-B64,"Cerrada"))</f>
        <v>Cerrada</v>
      </c>
      <c r="D64" s="8" t="s">
        <v>144</v>
      </c>
      <c r="E64" s="8" t="s">
        <v>43</v>
      </c>
      <c r="F64" s="8"/>
      <c r="G64" s="8"/>
      <c r="H64" s="8"/>
      <c r="I64" s="8"/>
      <c r="J64" s="8" t="s">
        <v>145</v>
      </c>
      <c r="K64" s="8" t="s">
        <v>146</v>
      </c>
      <c r="L64" s="8" t="s">
        <v>293</v>
      </c>
      <c r="M64" s="8" t="s">
        <v>294</v>
      </c>
      <c r="N64" s="8" t="s">
        <v>170</v>
      </c>
      <c r="O64" s="8" t="s">
        <v>295</v>
      </c>
      <c r="P64" s="8" t="s">
        <v>296</v>
      </c>
      <c r="Q64" s="8"/>
      <c r="R64" s="8" t="s">
        <v>52</v>
      </c>
      <c r="S64" s="8" t="s">
        <v>53</v>
      </c>
      <c r="T64" s="8"/>
      <c r="U64" s="8"/>
      <c r="V64" s="8"/>
      <c r="W64" s="8" t="s">
        <v>54</v>
      </c>
      <c r="X64" s="8"/>
      <c r="Y64" s="8" t="s">
        <v>500</v>
      </c>
      <c r="Z64" s="8"/>
      <c r="AA64" s="8" t="s">
        <v>152</v>
      </c>
      <c r="AB64" s="8"/>
      <c r="AC64" s="8"/>
      <c r="AD64" s="8" t="s">
        <v>501</v>
      </c>
      <c r="AE64" s="8" t="s">
        <v>154</v>
      </c>
      <c r="AF64" s="5">
        <v>46027</v>
      </c>
      <c r="AG64" s="5">
        <v>46034</v>
      </c>
      <c r="AH64" s="5"/>
      <c r="AI64" s="8"/>
      <c r="AJ64" s="8" t="s">
        <v>502</v>
      </c>
      <c r="AK64" s="8" t="s">
        <v>503</v>
      </c>
      <c r="AL64" s="8" t="s">
        <v>207</v>
      </c>
      <c r="AM64" s="8" t="s">
        <v>77</v>
      </c>
      <c r="AN64" s="8"/>
      <c r="AO64" s="8" t="s">
        <v>504</v>
      </c>
    </row>
    <row r="65" spans="1:41" ht="28.5">
      <c r="A65" s="7" t="s">
        <v>505</v>
      </c>
      <c r="B65" s="5">
        <v>46017</v>
      </c>
      <c r="C65" s="17" t="str">
        <f ca="1">IF(B65="","",IF(OR(TRIM(R65)="En curso",TRIM(R65)="En proceso de ingreso"),TODAY()-B65,"Cerrada"))</f>
        <v>Cerrada</v>
      </c>
      <c r="D65" s="8" t="s">
        <v>144</v>
      </c>
      <c r="E65" s="8" t="s">
        <v>43</v>
      </c>
      <c r="F65" s="8"/>
      <c r="G65" s="8"/>
      <c r="H65" s="8"/>
      <c r="I65" s="8"/>
      <c r="J65" s="8" t="s">
        <v>145</v>
      </c>
      <c r="K65" s="8" t="s">
        <v>146</v>
      </c>
      <c r="L65" s="8" t="s">
        <v>293</v>
      </c>
      <c r="M65" s="8" t="s">
        <v>294</v>
      </c>
      <c r="N65" s="8" t="s">
        <v>170</v>
      </c>
      <c r="O65" s="8" t="s">
        <v>295</v>
      </c>
      <c r="P65" s="8" t="s">
        <v>296</v>
      </c>
      <c r="Q65" s="8"/>
      <c r="R65" s="8" t="s">
        <v>52</v>
      </c>
      <c r="S65" s="8" t="s">
        <v>53</v>
      </c>
      <c r="T65" s="8"/>
      <c r="U65" s="8"/>
      <c r="V65" s="8"/>
      <c r="W65" s="8" t="s">
        <v>54</v>
      </c>
      <c r="X65" s="8"/>
      <c r="Y65" s="8" t="s">
        <v>506</v>
      </c>
      <c r="Z65" s="8"/>
      <c r="AA65" s="8" t="s">
        <v>152</v>
      </c>
      <c r="AB65" s="8"/>
      <c r="AC65" s="8"/>
      <c r="AD65" s="8" t="s">
        <v>501</v>
      </c>
      <c r="AE65" s="8" t="s">
        <v>154</v>
      </c>
      <c r="AF65" s="5">
        <v>46027</v>
      </c>
      <c r="AG65" s="5">
        <v>46034</v>
      </c>
      <c r="AH65" s="5"/>
      <c r="AI65" s="8"/>
      <c r="AJ65" s="8" t="s">
        <v>507</v>
      </c>
      <c r="AK65" s="8" t="s">
        <v>503</v>
      </c>
      <c r="AL65" s="8" t="s">
        <v>207</v>
      </c>
      <c r="AM65" s="8" t="s">
        <v>77</v>
      </c>
      <c r="AN65" s="8"/>
      <c r="AO65" s="8" t="s">
        <v>428</v>
      </c>
    </row>
    <row r="66" spans="1:41" ht="28.5">
      <c r="A66" s="7" t="s">
        <v>508</v>
      </c>
      <c r="B66" s="5">
        <v>46017</v>
      </c>
      <c r="C66" s="17" t="str">
        <f ca="1">IF(B66="","",IF(OR(TRIM(R66)="En curso",TRIM(R66)="En proceso de ingreso"),TODAY()-B66,"Cerrada"))</f>
        <v>Cerrada</v>
      </c>
      <c r="D66" s="8" t="s">
        <v>144</v>
      </c>
      <c r="E66" s="8" t="s">
        <v>43</v>
      </c>
      <c r="F66" s="8"/>
      <c r="G66" s="8"/>
      <c r="H66" s="8"/>
      <c r="I66" s="8"/>
      <c r="J66" s="8" t="s">
        <v>145</v>
      </c>
      <c r="K66" s="8" t="s">
        <v>146</v>
      </c>
      <c r="L66" s="8" t="s">
        <v>222</v>
      </c>
      <c r="M66" s="8" t="s">
        <v>212</v>
      </c>
      <c r="N66" s="8" t="s">
        <v>223</v>
      </c>
      <c r="O66" s="8" t="s">
        <v>224</v>
      </c>
      <c r="P66" s="8" t="s">
        <v>225</v>
      </c>
      <c r="Q66" s="8"/>
      <c r="R66" s="8" t="s">
        <v>52</v>
      </c>
      <c r="S66" s="8" t="s">
        <v>53</v>
      </c>
      <c r="T66" s="8"/>
      <c r="U66" s="8"/>
      <c r="V66" s="8"/>
      <c r="W66" s="8" t="s">
        <v>54</v>
      </c>
      <c r="X66" s="8"/>
      <c r="Y66" s="8" t="s">
        <v>509</v>
      </c>
      <c r="Z66" s="8"/>
      <c r="AA66" s="8" t="s">
        <v>173</v>
      </c>
      <c r="AB66" s="8"/>
      <c r="AC66" s="8"/>
      <c r="AD66" s="8" t="s">
        <v>227</v>
      </c>
      <c r="AE66" s="8" t="s">
        <v>154</v>
      </c>
      <c r="AF66" s="5">
        <v>46058</v>
      </c>
      <c r="AG66" s="5">
        <v>46062</v>
      </c>
      <c r="AH66" s="5"/>
      <c r="AI66" s="8"/>
      <c r="AJ66" s="8" t="s">
        <v>510</v>
      </c>
      <c r="AK66" s="8" t="s">
        <v>229</v>
      </c>
      <c r="AL66" s="8" t="s">
        <v>207</v>
      </c>
      <c r="AM66" s="8" t="s">
        <v>77</v>
      </c>
      <c r="AN66" s="8"/>
      <c r="AO66" s="8"/>
    </row>
    <row r="67" spans="1:41">
      <c r="A67" s="7" t="s">
        <v>511</v>
      </c>
      <c r="B67" s="5">
        <v>46017</v>
      </c>
      <c r="C67" s="17" t="str">
        <f ca="1">IF(B67="","",IF(OR(TRIM(R67)="En curso",TRIM(R67)="En proceso de ingreso"),TODAY()-B67,"Cerrada"))</f>
        <v>Cerrada</v>
      </c>
      <c r="D67" s="8" t="s">
        <v>104</v>
      </c>
      <c r="E67" s="8" t="s">
        <v>43</v>
      </c>
      <c r="F67" s="8"/>
      <c r="G67" s="8"/>
      <c r="H67" s="8"/>
      <c r="I67" s="8"/>
      <c r="J67" s="8" t="s">
        <v>145</v>
      </c>
      <c r="K67" s="8"/>
      <c r="L67" s="8" t="s">
        <v>282</v>
      </c>
      <c r="M67" s="8" t="s">
        <v>282</v>
      </c>
      <c r="N67" s="8" t="s">
        <v>469</v>
      </c>
      <c r="O67" s="8" t="s">
        <v>512</v>
      </c>
      <c r="P67" s="8" t="s">
        <v>513</v>
      </c>
      <c r="Q67" s="8"/>
      <c r="R67" s="8" t="s">
        <v>52</v>
      </c>
      <c r="S67" s="8" t="s">
        <v>53</v>
      </c>
      <c r="T67" s="8"/>
      <c r="U67" s="8" t="s">
        <v>138</v>
      </c>
      <c r="V67" s="8" t="s">
        <v>70</v>
      </c>
      <c r="W67" s="8" t="s">
        <v>54</v>
      </c>
      <c r="X67" s="8"/>
      <c r="Y67" s="8" t="s">
        <v>514</v>
      </c>
      <c r="Z67" s="8"/>
      <c r="AA67" s="8" t="s">
        <v>474</v>
      </c>
      <c r="AB67" s="8"/>
      <c r="AC67" s="8"/>
      <c r="AD67" s="8" t="s">
        <v>315</v>
      </c>
      <c r="AE67" s="8" t="s">
        <v>113</v>
      </c>
      <c r="AF67" s="5">
        <v>46122</v>
      </c>
      <c r="AG67" s="5">
        <v>46132</v>
      </c>
      <c r="AH67" s="5" t="s">
        <v>73</v>
      </c>
      <c r="AI67" s="8" t="s">
        <v>515</v>
      </c>
      <c r="AJ67" s="8" t="s">
        <v>516</v>
      </c>
      <c r="AK67" s="9" t="s">
        <v>517</v>
      </c>
      <c r="AL67" s="8" t="s">
        <v>116</v>
      </c>
      <c r="AM67" s="8" t="s">
        <v>518</v>
      </c>
      <c r="AN67" s="8" t="s">
        <v>77</v>
      </c>
      <c r="AO67" s="8"/>
    </row>
    <row r="68" spans="1:41" ht="28.5">
      <c r="A68" s="7" t="s">
        <v>519</v>
      </c>
      <c r="B68" s="5">
        <v>46019</v>
      </c>
      <c r="C68" s="17" t="str">
        <f ca="1">IF(B68="","",IF(OR(TRIM(R68)="En curso",TRIM(R68)="En proceso de ingreso"),TODAY()-B68,"Cerrada"))</f>
        <v>Cerrada</v>
      </c>
      <c r="D68" s="8" t="s">
        <v>144</v>
      </c>
      <c r="E68" s="8" t="s">
        <v>43</v>
      </c>
      <c r="F68" s="8"/>
      <c r="G68" s="8"/>
      <c r="H68" s="8"/>
      <c r="I68" s="8"/>
      <c r="J68" s="8" t="s">
        <v>145</v>
      </c>
      <c r="K68" s="8" t="s">
        <v>146</v>
      </c>
      <c r="L68" s="8" t="s">
        <v>222</v>
      </c>
      <c r="M68" s="8" t="s">
        <v>199</v>
      </c>
      <c r="N68" s="8" t="s">
        <v>223</v>
      </c>
      <c r="O68" s="8" t="s">
        <v>433</v>
      </c>
      <c r="P68" s="8" t="s">
        <v>225</v>
      </c>
      <c r="Q68" s="8"/>
      <c r="R68" s="8" t="s">
        <v>52</v>
      </c>
      <c r="S68" s="8" t="s">
        <v>53</v>
      </c>
      <c r="T68" s="8"/>
      <c r="U68" s="8" t="s">
        <v>69</v>
      </c>
      <c r="V68" s="8" t="s">
        <v>70</v>
      </c>
      <c r="W68" s="8" t="s">
        <v>54</v>
      </c>
      <c r="X68" s="8"/>
      <c r="Y68" s="8" t="s">
        <v>520</v>
      </c>
      <c r="Z68" s="8"/>
      <c r="AA68" s="8" t="s">
        <v>152</v>
      </c>
      <c r="AB68" s="8"/>
      <c r="AC68" s="8"/>
      <c r="AD68" s="8" t="s">
        <v>521</v>
      </c>
      <c r="AE68" s="8" t="s">
        <v>154</v>
      </c>
      <c r="AF68" s="5">
        <v>46084</v>
      </c>
      <c r="AG68" s="5">
        <v>46090</v>
      </c>
      <c r="AH68" s="5"/>
      <c r="AI68" s="8"/>
      <c r="AJ68" s="8" t="s">
        <v>522</v>
      </c>
      <c r="AK68" s="8" t="s">
        <v>523</v>
      </c>
      <c r="AL68" s="8" t="s">
        <v>207</v>
      </c>
      <c r="AM68" s="8" t="s">
        <v>77</v>
      </c>
      <c r="AN68" s="8"/>
      <c r="AO68" s="8"/>
    </row>
    <row r="69" spans="1:41" ht="28.5">
      <c r="A69" s="7" t="s">
        <v>524</v>
      </c>
      <c r="B69" s="5">
        <v>46020</v>
      </c>
      <c r="C69" s="17" t="str">
        <f ca="1">IF(B69="","",IF(OR(TRIM(R69)="En curso",TRIM(R69)="En proceso de ingreso"),TODAY()-B69,"Cerrada"))</f>
        <v>Cerrada</v>
      </c>
      <c r="D69" s="8" t="s">
        <v>42</v>
      </c>
      <c r="E69" s="8" t="s">
        <v>43</v>
      </c>
      <c r="F69" s="8"/>
      <c r="G69" s="8"/>
      <c r="H69" s="8"/>
      <c r="I69" s="8"/>
      <c r="J69" s="8" t="s">
        <v>320</v>
      </c>
      <c r="K69" s="8" t="s">
        <v>525</v>
      </c>
      <c r="L69" s="8" t="s">
        <v>270</v>
      </c>
      <c r="M69" s="8" t="s">
        <v>322</v>
      </c>
      <c r="N69" s="8" t="s">
        <v>170</v>
      </c>
      <c r="O69" s="8" t="s">
        <v>526</v>
      </c>
      <c r="P69" s="8" t="s">
        <v>527</v>
      </c>
      <c r="Q69" s="8"/>
      <c r="R69" s="8" t="s">
        <v>52</v>
      </c>
      <c r="S69" s="8" t="s">
        <v>53</v>
      </c>
      <c r="T69" s="8"/>
      <c r="U69" s="8"/>
      <c r="V69" s="8"/>
      <c r="W69" s="8" t="s">
        <v>54</v>
      </c>
      <c r="X69" s="8"/>
      <c r="Y69" s="8" t="s">
        <v>528</v>
      </c>
      <c r="Z69" s="8"/>
      <c r="AA69" s="8" t="s">
        <v>152</v>
      </c>
      <c r="AB69" s="8"/>
      <c r="AC69" s="8"/>
      <c r="AD69" s="8" t="s">
        <v>529</v>
      </c>
      <c r="AE69" s="8" t="s">
        <v>530</v>
      </c>
      <c r="AF69" s="5">
        <v>46030</v>
      </c>
      <c r="AG69" s="5">
        <v>46041</v>
      </c>
      <c r="AH69" s="5"/>
      <c r="AI69" s="8"/>
      <c r="AJ69" s="8" t="s">
        <v>531</v>
      </c>
      <c r="AK69" s="8" t="s">
        <v>532</v>
      </c>
      <c r="AL69" s="8" t="s">
        <v>533</v>
      </c>
      <c r="AM69" s="8" t="s">
        <v>77</v>
      </c>
      <c r="AN69" s="8" t="s">
        <v>77</v>
      </c>
      <c r="AO69" s="8" t="s">
        <v>534</v>
      </c>
    </row>
    <row r="70" spans="1:41" ht="28.5">
      <c r="A70" s="7" t="s">
        <v>535</v>
      </c>
      <c r="B70" s="5">
        <v>46020</v>
      </c>
      <c r="C70" s="17" t="str">
        <f ca="1">IF(B70="","",IF(OR(TRIM(R70)="En curso",TRIM(R70)="En proceso de ingreso"),TODAY()-B70,"Cerrada"))</f>
        <v>Cerrada</v>
      </c>
      <c r="D70" s="8" t="s">
        <v>144</v>
      </c>
      <c r="E70" s="8" t="s">
        <v>43</v>
      </c>
      <c r="F70" s="8"/>
      <c r="G70" s="8"/>
      <c r="H70" s="8"/>
      <c r="I70" s="8"/>
      <c r="J70" s="8" t="s">
        <v>145</v>
      </c>
      <c r="K70" s="8" t="s">
        <v>146</v>
      </c>
      <c r="L70" s="8" t="s">
        <v>222</v>
      </c>
      <c r="M70" s="8" t="s">
        <v>212</v>
      </c>
      <c r="N70" s="8" t="s">
        <v>223</v>
      </c>
      <c r="O70" s="8" t="s">
        <v>224</v>
      </c>
      <c r="P70" s="8" t="s">
        <v>225</v>
      </c>
      <c r="Q70" s="8"/>
      <c r="R70" s="8" t="s">
        <v>52</v>
      </c>
      <c r="S70" s="8" t="s">
        <v>53</v>
      </c>
      <c r="T70" s="8"/>
      <c r="U70" s="8"/>
      <c r="V70" s="8"/>
      <c r="W70" s="8" t="s">
        <v>54</v>
      </c>
      <c r="X70" s="8"/>
      <c r="Y70" s="8" t="s">
        <v>536</v>
      </c>
      <c r="Z70" s="8"/>
      <c r="AA70" s="8" t="s">
        <v>152</v>
      </c>
      <c r="AB70" s="8"/>
      <c r="AC70" s="8"/>
      <c r="AD70" s="8" t="s">
        <v>537</v>
      </c>
      <c r="AE70" s="8" t="s">
        <v>154</v>
      </c>
      <c r="AF70" s="5">
        <v>46063</v>
      </c>
      <c r="AG70" s="5">
        <v>46076</v>
      </c>
      <c r="AH70" s="5"/>
      <c r="AI70" s="8"/>
      <c r="AJ70" s="8" t="s">
        <v>538</v>
      </c>
      <c r="AK70" s="8" t="s">
        <v>539</v>
      </c>
      <c r="AL70" s="8" t="s">
        <v>207</v>
      </c>
      <c r="AM70" s="8" t="s">
        <v>77</v>
      </c>
      <c r="AN70" s="8"/>
      <c r="AO70" s="8"/>
    </row>
    <row r="71" spans="1:41" ht="28.5">
      <c r="A71" s="7" t="s">
        <v>540</v>
      </c>
      <c r="B71" s="5">
        <v>46020</v>
      </c>
      <c r="C71" s="17" t="str">
        <f ca="1">IF(B71="","",IF(OR(TRIM(R71)="En curso",TRIM(R71)="En proceso de ingreso"),TODAY()-B71,"Cerrada"))</f>
        <v>Cerrada</v>
      </c>
      <c r="D71" s="8" t="s">
        <v>144</v>
      </c>
      <c r="E71" s="8" t="s">
        <v>43</v>
      </c>
      <c r="F71" s="8"/>
      <c r="G71" s="8"/>
      <c r="H71" s="8"/>
      <c r="I71" s="8"/>
      <c r="J71" s="8" t="s">
        <v>145</v>
      </c>
      <c r="K71" s="8" t="s">
        <v>146</v>
      </c>
      <c r="L71" s="8" t="s">
        <v>222</v>
      </c>
      <c r="M71" s="8" t="s">
        <v>212</v>
      </c>
      <c r="N71" s="8" t="s">
        <v>223</v>
      </c>
      <c r="O71" s="8" t="s">
        <v>224</v>
      </c>
      <c r="P71" s="8" t="s">
        <v>225</v>
      </c>
      <c r="Q71" s="8"/>
      <c r="R71" s="8" t="s">
        <v>52</v>
      </c>
      <c r="S71" s="8" t="s">
        <v>53</v>
      </c>
      <c r="T71" s="8"/>
      <c r="U71" s="8"/>
      <c r="V71" s="8"/>
      <c r="W71" s="8" t="s">
        <v>54</v>
      </c>
      <c r="X71" s="8"/>
      <c r="Y71" s="8" t="s">
        <v>541</v>
      </c>
      <c r="Z71" s="8"/>
      <c r="AA71" s="8" t="s">
        <v>152</v>
      </c>
      <c r="AB71" s="8"/>
      <c r="AC71" s="8"/>
      <c r="AD71" s="8" t="s">
        <v>537</v>
      </c>
      <c r="AE71" s="8" t="s">
        <v>154</v>
      </c>
      <c r="AF71" s="5">
        <v>46063</v>
      </c>
      <c r="AG71" s="5">
        <v>46076</v>
      </c>
      <c r="AH71" s="5"/>
      <c r="AI71" s="8"/>
      <c r="AJ71" s="8" t="s">
        <v>542</v>
      </c>
      <c r="AK71" s="8" t="s">
        <v>539</v>
      </c>
      <c r="AL71" s="8" t="s">
        <v>207</v>
      </c>
      <c r="AM71" s="8" t="s">
        <v>77</v>
      </c>
      <c r="AN71" s="8"/>
      <c r="AO71" s="8"/>
    </row>
    <row r="72" spans="1:41" ht="28.5">
      <c r="A72" s="7" t="s">
        <v>543</v>
      </c>
      <c r="B72" s="5">
        <v>46020</v>
      </c>
      <c r="C72" s="17" t="str">
        <f ca="1">IF(B72="","",IF(OR(TRIM(R72)="En curso",TRIM(R72)="En proceso de ingreso"),TODAY()-B72,"Cerrada"))</f>
        <v>Cerrada</v>
      </c>
      <c r="D72" s="8" t="s">
        <v>144</v>
      </c>
      <c r="E72" s="8" t="s">
        <v>43</v>
      </c>
      <c r="F72" s="8"/>
      <c r="G72" s="8"/>
      <c r="H72" s="8"/>
      <c r="I72" s="8"/>
      <c r="J72" s="8" t="s">
        <v>145</v>
      </c>
      <c r="K72" s="8" t="s">
        <v>146</v>
      </c>
      <c r="L72" s="8" t="s">
        <v>198</v>
      </c>
      <c r="M72" s="8" t="s">
        <v>199</v>
      </c>
      <c r="N72" s="8" t="s">
        <v>200</v>
      </c>
      <c r="O72" s="8" t="s">
        <v>201</v>
      </c>
      <c r="P72" s="8" t="s">
        <v>202</v>
      </c>
      <c r="Q72" s="8"/>
      <c r="R72" s="8" t="s">
        <v>52</v>
      </c>
      <c r="S72" s="8" t="s">
        <v>53</v>
      </c>
      <c r="T72" s="8"/>
      <c r="U72" s="8"/>
      <c r="V72" s="8"/>
      <c r="W72" s="8" t="s">
        <v>54</v>
      </c>
      <c r="X72" s="8"/>
      <c r="Y72" s="8" t="s">
        <v>544</v>
      </c>
      <c r="Z72" s="8"/>
      <c r="AA72" s="8" t="s">
        <v>152</v>
      </c>
      <c r="AB72" s="8"/>
      <c r="AC72" s="8"/>
      <c r="AD72" s="8" t="s">
        <v>545</v>
      </c>
      <c r="AE72" s="8" t="s">
        <v>154</v>
      </c>
      <c r="AF72" s="5">
        <v>46037</v>
      </c>
      <c r="AG72" s="5">
        <v>46062</v>
      </c>
      <c r="AH72" s="5"/>
      <c r="AI72" s="8"/>
      <c r="AJ72" s="8" t="s">
        <v>546</v>
      </c>
      <c r="AK72" s="8" t="s">
        <v>482</v>
      </c>
      <c r="AL72" s="8" t="s">
        <v>207</v>
      </c>
      <c r="AM72" s="8" t="s">
        <v>77</v>
      </c>
      <c r="AN72" s="8"/>
      <c r="AO72" s="8"/>
    </row>
    <row r="73" spans="1:41">
      <c r="A73" s="7" t="s">
        <v>547</v>
      </c>
      <c r="B73" s="5">
        <v>46022</v>
      </c>
      <c r="C73" s="17" t="str">
        <f ca="1">IF(B73="","",IF(OR(TRIM(R73)="En curso",TRIM(R73)="En proceso de ingreso"),TODAY()-B73,"Cerrada"))</f>
        <v>Cerrada</v>
      </c>
      <c r="D73" s="8" t="s">
        <v>42</v>
      </c>
      <c r="E73" s="8" t="s">
        <v>43</v>
      </c>
      <c r="F73" s="8"/>
      <c r="G73" s="8"/>
      <c r="H73" s="8"/>
      <c r="I73" s="8"/>
      <c r="J73" s="8" t="s">
        <v>45</v>
      </c>
      <c r="K73" s="8" t="s">
        <v>121</v>
      </c>
      <c r="L73" s="8" t="s">
        <v>122</v>
      </c>
      <c r="M73" s="8" t="s">
        <v>161</v>
      </c>
      <c r="N73" s="8" t="s">
        <v>49</v>
      </c>
      <c r="O73" s="8" t="s">
        <v>364</v>
      </c>
      <c r="P73" s="8" t="s">
        <v>365</v>
      </c>
      <c r="Q73" s="8"/>
      <c r="R73" s="8" t="s">
        <v>52</v>
      </c>
      <c r="S73" s="8" t="s">
        <v>53</v>
      </c>
      <c r="T73" s="8"/>
      <c r="U73" s="8"/>
      <c r="V73" s="8"/>
      <c r="W73" s="8" t="s">
        <v>54</v>
      </c>
      <c r="X73" s="8"/>
      <c r="Y73" s="8" t="s">
        <v>548</v>
      </c>
      <c r="Z73" s="8"/>
      <c r="AA73" s="8" t="s">
        <v>56</v>
      </c>
      <c r="AB73" s="8"/>
      <c r="AC73" s="8"/>
      <c r="AD73" s="8" t="s">
        <v>549</v>
      </c>
      <c r="AE73" s="8" t="s">
        <v>127</v>
      </c>
      <c r="AF73" s="5">
        <v>46028</v>
      </c>
      <c r="AG73" s="5">
        <v>46035</v>
      </c>
      <c r="AH73" s="5"/>
      <c r="AI73" s="8"/>
      <c r="AJ73" s="8" t="s">
        <v>550</v>
      </c>
      <c r="AK73" s="8" t="s">
        <v>551</v>
      </c>
      <c r="AL73" s="8" t="s">
        <v>61</v>
      </c>
      <c r="AM73" s="8" t="s">
        <v>44</v>
      </c>
      <c r="AN73" s="8" t="s">
        <v>77</v>
      </c>
      <c r="AO73" s="8" t="s">
        <v>370</v>
      </c>
    </row>
    <row r="74" spans="1:41" ht="28.5">
      <c r="A74" s="7" t="s">
        <v>552</v>
      </c>
      <c r="B74" s="5">
        <v>46022</v>
      </c>
      <c r="C74" s="17" t="str">
        <f ca="1">IF(B74="","",IF(OR(TRIM(R74)="En curso",TRIM(R74)="En proceso de ingreso"),TODAY()-B74,"Cerrada"))</f>
        <v>Cerrada</v>
      </c>
      <c r="D74" s="8" t="s">
        <v>144</v>
      </c>
      <c r="E74" s="8" t="s">
        <v>43</v>
      </c>
      <c r="F74" s="8"/>
      <c r="G74" s="8"/>
      <c r="H74" s="8"/>
      <c r="I74" s="8"/>
      <c r="J74" s="8" t="s">
        <v>145</v>
      </c>
      <c r="K74" s="8" t="s">
        <v>146</v>
      </c>
      <c r="L74" s="8" t="s">
        <v>222</v>
      </c>
      <c r="M74" s="8" t="s">
        <v>199</v>
      </c>
      <c r="N74" s="8" t="s">
        <v>223</v>
      </c>
      <c r="O74" s="8" t="s">
        <v>433</v>
      </c>
      <c r="P74" s="8" t="s">
        <v>225</v>
      </c>
      <c r="Q74" s="8"/>
      <c r="R74" s="8" t="s">
        <v>52</v>
      </c>
      <c r="S74" s="8" t="s">
        <v>53</v>
      </c>
      <c r="T74" s="8"/>
      <c r="U74" s="8"/>
      <c r="V74" s="8"/>
      <c r="W74" s="8" t="s">
        <v>54</v>
      </c>
      <c r="X74" s="8"/>
      <c r="Y74" s="8" t="s">
        <v>553</v>
      </c>
      <c r="Z74" s="8"/>
      <c r="AA74" s="8" t="s">
        <v>173</v>
      </c>
      <c r="AB74" s="8"/>
      <c r="AC74" s="8"/>
      <c r="AD74" s="8" t="s">
        <v>554</v>
      </c>
      <c r="AE74" s="8" t="s">
        <v>154</v>
      </c>
      <c r="AF74" s="5">
        <v>46049</v>
      </c>
      <c r="AG74" s="5">
        <v>46055</v>
      </c>
      <c r="AH74" s="5"/>
      <c r="AI74" s="8"/>
      <c r="AJ74" s="8" t="s">
        <v>555</v>
      </c>
      <c r="AK74" s="8" t="s">
        <v>556</v>
      </c>
      <c r="AL74" s="8" t="s">
        <v>207</v>
      </c>
      <c r="AM74" s="8" t="s">
        <v>77</v>
      </c>
      <c r="AN74" s="8"/>
      <c r="AO74" s="8"/>
    </row>
    <row r="75" spans="1:41" ht="28.5">
      <c r="A75" s="7" t="s">
        <v>557</v>
      </c>
      <c r="B75" s="5">
        <v>46022</v>
      </c>
      <c r="C75" s="17" t="str">
        <f ca="1">IF(B75="","",IF(OR(TRIM(R75)="En curso",TRIM(R75)="En proceso de ingreso"),TODAY()-B75,"Cerrada"))</f>
        <v>Cerrada</v>
      </c>
      <c r="D75" s="8" t="s">
        <v>42</v>
      </c>
      <c r="E75" s="8" t="s">
        <v>43</v>
      </c>
      <c r="F75" s="8"/>
      <c r="G75" s="8" t="s">
        <v>44</v>
      </c>
      <c r="H75" s="8"/>
      <c r="I75" s="8"/>
      <c r="J75" s="8" t="s">
        <v>45</v>
      </c>
      <c r="K75" s="8" t="s">
        <v>46</v>
      </c>
      <c r="L75" s="8" t="s">
        <v>47</v>
      </c>
      <c r="M75" s="8" t="s">
        <v>48</v>
      </c>
      <c r="N75" s="8" t="s">
        <v>49</v>
      </c>
      <c r="O75" s="8" t="s">
        <v>50</v>
      </c>
      <c r="P75" s="8" t="s">
        <v>51</v>
      </c>
      <c r="Q75" s="8"/>
      <c r="R75" s="8" t="s">
        <v>52</v>
      </c>
      <c r="S75" s="8" t="s">
        <v>53</v>
      </c>
      <c r="T75" s="8"/>
      <c r="U75" s="8"/>
      <c r="V75" s="8"/>
      <c r="W75" s="8" t="s">
        <v>54</v>
      </c>
      <c r="X75" s="8"/>
      <c r="Y75" s="8" t="s">
        <v>558</v>
      </c>
      <c r="Z75" s="8"/>
      <c r="AA75" s="8" t="s">
        <v>56</v>
      </c>
      <c r="AB75" s="8"/>
      <c r="AC75" s="8"/>
      <c r="AD75" s="8" t="s">
        <v>57</v>
      </c>
      <c r="AE75" s="8" t="s">
        <v>58</v>
      </c>
      <c r="AF75" s="5">
        <v>46044</v>
      </c>
      <c r="AG75" s="5">
        <v>46056</v>
      </c>
      <c r="AH75" s="5"/>
      <c r="AI75" s="8"/>
      <c r="AJ75" s="8" t="s">
        <v>559</v>
      </c>
      <c r="AK75" s="8" t="s">
        <v>60</v>
      </c>
      <c r="AL75" s="8" t="s">
        <v>61</v>
      </c>
      <c r="AM75" s="8" t="s">
        <v>44</v>
      </c>
      <c r="AN75" s="8" t="s">
        <v>44</v>
      </c>
      <c r="AO75" s="8" t="s">
        <v>560</v>
      </c>
    </row>
    <row r="76" spans="1:41" ht="28.5">
      <c r="A76" s="7" t="s">
        <v>561</v>
      </c>
      <c r="B76" s="5">
        <v>46022</v>
      </c>
      <c r="C76" s="17" t="str">
        <f ca="1">IF(B76="","",IF(OR(TRIM(R76)="En curso",TRIM(R76)="En proceso de ingreso"),TODAY()-B76,"Cerrada"))</f>
        <v>Cerrada</v>
      </c>
      <c r="D76" s="8" t="s">
        <v>42</v>
      </c>
      <c r="E76" s="8" t="s">
        <v>43</v>
      </c>
      <c r="F76" s="8"/>
      <c r="G76" s="8"/>
      <c r="H76" s="8"/>
      <c r="I76" s="8"/>
      <c r="J76" s="8" t="s">
        <v>133</v>
      </c>
      <c r="K76" s="8" t="s">
        <v>562</v>
      </c>
      <c r="L76" s="8" t="s">
        <v>563</v>
      </c>
      <c r="M76" s="8" t="s">
        <v>270</v>
      </c>
      <c r="N76" s="8" t="s">
        <v>170</v>
      </c>
      <c r="O76" s="8" t="s">
        <v>564</v>
      </c>
      <c r="P76" s="8" t="s">
        <v>565</v>
      </c>
      <c r="Q76" s="8"/>
      <c r="R76" s="8" t="s">
        <v>52</v>
      </c>
      <c r="S76" s="8" t="s">
        <v>53</v>
      </c>
      <c r="T76" s="8"/>
      <c r="U76" s="8"/>
      <c r="V76" s="8"/>
      <c r="W76" s="8" t="s">
        <v>54</v>
      </c>
      <c r="X76" s="8"/>
      <c r="Y76" s="8" t="s">
        <v>566</v>
      </c>
      <c r="Z76" s="8"/>
      <c r="AA76" s="8" t="s">
        <v>56</v>
      </c>
      <c r="AB76" s="8"/>
      <c r="AC76" s="8"/>
      <c r="AD76" s="8" t="s">
        <v>567</v>
      </c>
      <c r="AE76" s="8" t="s">
        <v>568</v>
      </c>
      <c r="AF76" s="5">
        <v>46050</v>
      </c>
      <c r="AG76" s="5">
        <v>46056</v>
      </c>
      <c r="AH76" s="5"/>
      <c r="AI76" s="8"/>
      <c r="AJ76" s="8" t="s">
        <v>569</v>
      </c>
      <c r="AK76" s="8" t="s">
        <v>570</v>
      </c>
      <c r="AL76" s="8" t="s">
        <v>97</v>
      </c>
      <c r="AM76" s="8" t="s">
        <v>44</v>
      </c>
      <c r="AN76" s="8" t="s">
        <v>44</v>
      </c>
      <c r="AO76" s="8" t="s">
        <v>571</v>
      </c>
    </row>
    <row r="77" spans="1:41" ht="28.5">
      <c r="A77" s="7" t="s">
        <v>572</v>
      </c>
      <c r="B77" s="5">
        <v>46023</v>
      </c>
      <c r="C77" s="17" t="str">
        <f ca="1">IF(B77="","",IF(OR(TRIM(R77)="En curso",TRIM(R77)="En proceso de ingreso"),TODAY()-B77,"Cerrada"))</f>
        <v>Cerrada</v>
      </c>
      <c r="D77" s="8" t="s">
        <v>144</v>
      </c>
      <c r="E77" s="8" t="s">
        <v>43</v>
      </c>
      <c r="F77" s="8"/>
      <c r="G77" s="8"/>
      <c r="H77" s="8"/>
      <c r="I77" s="8"/>
      <c r="J77" s="8" t="s">
        <v>145</v>
      </c>
      <c r="K77" s="8" t="s">
        <v>146</v>
      </c>
      <c r="L77" s="8" t="s">
        <v>198</v>
      </c>
      <c r="M77" s="8" t="s">
        <v>199</v>
      </c>
      <c r="N77" s="8" t="s">
        <v>200</v>
      </c>
      <c r="O77" s="8" t="s">
        <v>201</v>
      </c>
      <c r="P77" s="8" t="s">
        <v>202</v>
      </c>
      <c r="Q77" s="8"/>
      <c r="R77" s="8" t="s">
        <v>52</v>
      </c>
      <c r="S77" s="8" t="s">
        <v>53</v>
      </c>
      <c r="T77" s="8"/>
      <c r="U77" s="8"/>
      <c r="V77" s="8"/>
      <c r="W77" s="8" t="s">
        <v>54</v>
      </c>
      <c r="X77" s="8"/>
      <c r="Y77" s="8" t="s">
        <v>573</v>
      </c>
      <c r="Z77" s="8"/>
      <c r="AA77" s="8" t="s">
        <v>173</v>
      </c>
      <c r="AB77" s="8"/>
      <c r="AC77" s="8"/>
      <c r="AD77" s="8" t="s">
        <v>545</v>
      </c>
      <c r="AE77" s="8" t="s">
        <v>154</v>
      </c>
      <c r="AF77" s="5">
        <v>46037</v>
      </c>
      <c r="AG77" s="5">
        <v>46045</v>
      </c>
      <c r="AH77" s="5"/>
      <c r="AI77" s="8"/>
      <c r="AJ77" s="8" t="s">
        <v>574</v>
      </c>
      <c r="AK77" s="8" t="s">
        <v>575</v>
      </c>
      <c r="AL77" s="8" t="s">
        <v>207</v>
      </c>
      <c r="AM77" s="8" t="s">
        <v>77</v>
      </c>
      <c r="AN77" s="8" t="s">
        <v>44</v>
      </c>
      <c r="AO77" s="8"/>
    </row>
    <row r="78" spans="1:41" ht="28.5">
      <c r="A78" s="7" t="s">
        <v>576</v>
      </c>
      <c r="B78" s="5">
        <v>46023</v>
      </c>
      <c r="C78" s="17" t="str">
        <f ca="1">IF(B78="","",IF(OR(TRIM(R78)="En curso",TRIM(R78)="En proceso de ingreso"),TODAY()-B78,"Cerrada"))</f>
        <v>Cerrada</v>
      </c>
      <c r="D78" s="8" t="s">
        <v>144</v>
      </c>
      <c r="E78" s="8" t="s">
        <v>43</v>
      </c>
      <c r="F78" s="8"/>
      <c r="G78" s="8"/>
      <c r="H78" s="8"/>
      <c r="I78" s="8"/>
      <c r="J78" s="8" t="s">
        <v>145</v>
      </c>
      <c r="K78" s="8" t="s">
        <v>146</v>
      </c>
      <c r="L78" s="8" t="s">
        <v>347</v>
      </c>
      <c r="M78" s="8" t="s">
        <v>348</v>
      </c>
      <c r="N78" s="8" t="s">
        <v>213</v>
      </c>
      <c r="O78" s="8" t="s">
        <v>349</v>
      </c>
      <c r="P78" s="8" t="s">
        <v>350</v>
      </c>
      <c r="Q78" s="8"/>
      <c r="R78" s="8" t="s">
        <v>52</v>
      </c>
      <c r="S78" s="8" t="s">
        <v>53</v>
      </c>
      <c r="T78" s="8"/>
      <c r="U78" s="8"/>
      <c r="V78" s="8"/>
      <c r="W78" s="8" t="s">
        <v>54</v>
      </c>
      <c r="X78" s="8"/>
      <c r="Y78" s="8" t="s">
        <v>305</v>
      </c>
      <c r="Z78" s="8"/>
      <c r="AA78" s="8" t="s">
        <v>173</v>
      </c>
      <c r="AB78" s="8"/>
      <c r="AC78" s="8"/>
      <c r="AD78" s="8" t="s">
        <v>577</v>
      </c>
      <c r="AE78" s="8" t="s">
        <v>154</v>
      </c>
      <c r="AF78" s="5">
        <v>46027</v>
      </c>
      <c r="AG78" s="5">
        <v>46034</v>
      </c>
      <c r="AH78" s="5"/>
      <c r="AI78" s="8"/>
      <c r="AJ78" s="8" t="s">
        <v>578</v>
      </c>
      <c r="AK78" s="8" t="s">
        <v>354</v>
      </c>
      <c r="AL78" s="8" t="s">
        <v>207</v>
      </c>
      <c r="AM78" s="8" t="s">
        <v>77</v>
      </c>
      <c r="AN78" s="8"/>
      <c r="AO78" s="8"/>
    </row>
    <row r="79" spans="1:41" ht="28.5">
      <c r="A79" s="7" t="s">
        <v>579</v>
      </c>
      <c r="B79" s="5">
        <v>46023</v>
      </c>
      <c r="C79" s="17" t="str">
        <f ca="1">IF(B79="","",IF(OR(TRIM(R79)="En curso",TRIM(R79)="En proceso de ingreso"),TODAY()-B79,"Cerrada"))</f>
        <v>Cerrada</v>
      </c>
      <c r="D79" s="8" t="s">
        <v>144</v>
      </c>
      <c r="E79" s="8" t="s">
        <v>43</v>
      </c>
      <c r="F79" s="8"/>
      <c r="G79" s="8"/>
      <c r="H79" s="8"/>
      <c r="I79" s="8"/>
      <c r="J79" s="8" t="s">
        <v>145</v>
      </c>
      <c r="K79" s="8" t="s">
        <v>146</v>
      </c>
      <c r="L79" s="8" t="s">
        <v>347</v>
      </c>
      <c r="M79" s="8" t="s">
        <v>348</v>
      </c>
      <c r="N79" s="8" t="s">
        <v>213</v>
      </c>
      <c r="O79" s="8" t="s">
        <v>349</v>
      </c>
      <c r="P79" s="8" t="s">
        <v>350</v>
      </c>
      <c r="Q79" s="8"/>
      <c r="R79" s="8" t="s">
        <v>52</v>
      </c>
      <c r="S79" s="8" t="s">
        <v>53</v>
      </c>
      <c r="T79" s="8"/>
      <c r="U79" s="8"/>
      <c r="V79" s="8"/>
      <c r="W79" s="8" t="s">
        <v>54</v>
      </c>
      <c r="X79" s="8"/>
      <c r="Y79" s="8" t="s">
        <v>305</v>
      </c>
      <c r="Z79" s="8"/>
      <c r="AA79" s="8" t="s">
        <v>173</v>
      </c>
      <c r="AB79" s="8"/>
      <c r="AC79" s="8"/>
      <c r="AD79" s="8" t="s">
        <v>577</v>
      </c>
      <c r="AE79" s="8" t="s">
        <v>154</v>
      </c>
      <c r="AF79" s="5">
        <v>46027</v>
      </c>
      <c r="AG79" s="5">
        <v>46034</v>
      </c>
      <c r="AH79" s="5"/>
      <c r="AI79" s="8"/>
      <c r="AJ79" s="8" t="s">
        <v>580</v>
      </c>
      <c r="AK79" s="8" t="s">
        <v>354</v>
      </c>
      <c r="AL79" s="8" t="s">
        <v>207</v>
      </c>
      <c r="AM79" s="8" t="s">
        <v>77</v>
      </c>
      <c r="AN79" s="8"/>
      <c r="AO79" s="8" t="s">
        <v>581</v>
      </c>
    </row>
    <row r="80" spans="1:41" ht="28.5">
      <c r="A80" s="7" t="s">
        <v>582</v>
      </c>
      <c r="B80" s="5">
        <v>46023</v>
      </c>
      <c r="C80" s="17" t="str">
        <f ca="1">IF(B80="","",IF(OR(TRIM(R80)="En curso",TRIM(R80)="En proceso de ingreso"),TODAY()-B80,"Cerrada"))</f>
        <v>Cerrada</v>
      </c>
      <c r="D80" s="8" t="s">
        <v>144</v>
      </c>
      <c r="E80" s="8" t="s">
        <v>43</v>
      </c>
      <c r="F80" s="8"/>
      <c r="G80" s="8"/>
      <c r="H80" s="8"/>
      <c r="I80" s="8"/>
      <c r="J80" s="8" t="s">
        <v>145</v>
      </c>
      <c r="K80" s="8" t="s">
        <v>146</v>
      </c>
      <c r="L80" s="8" t="s">
        <v>347</v>
      </c>
      <c r="M80" s="8" t="s">
        <v>348</v>
      </c>
      <c r="N80" s="8" t="s">
        <v>213</v>
      </c>
      <c r="O80" s="8" t="s">
        <v>349</v>
      </c>
      <c r="P80" s="8" t="s">
        <v>350</v>
      </c>
      <c r="Q80" s="8"/>
      <c r="R80" s="8" t="s">
        <v>52</v>
      </c>
      <c r="S80" s="8" t="s">
        <v>53</v>
      </c>
      <c r="T80" s="8"/>
      <c r="U80" s="8"/>
      <c r="V80" s="8"/>
      <c r="W80" s="8" t="s">
        <v>54</v>
      </c>
      <c r="X80" s="8"/>
      <c r="Y80" s="8" t="s">
        <v>305</v>
      </c>
      <c r="Z80" s="8"/>
      <c r="AA80" s="8" t="s">
        <v>173</v>
      </c>
      <c r="AB80" s="8"/>
      <c r="AC80" s="8"/>
      <c r="AD80" s="8" t="s">
        <v>373</v>
      </c>
      <c r="AE80" s="8" t="s">
        <v>154</v>
      </c>
      <c r="AF80" s="5">
        <v>46027</v>
      </c>
      <c r="AG80" s="5">
        <v>46041</v>
      </c>
      <c r="AH80" s="5"/>
      <c r="AI80" s="8"/>
      <c r="AJ80" s="8" t="s">
        <v>583</v>
      </c>
      <c r="AK80" s="8" t="s">
        <v>354</v>
      </c>
      <c r="AL80" s="8" t="s">
        <v>207</v>
      </c>
      <c r="AM80" s="8" t="s">
        <v>77</v>
      </c>
      <c r="AN80" s="8"/>
      <c r="AO80" s="8" t="s">
        <v>584</v>
      </c>
    </row>
    <row r="81" spans="1:41">
      <c r="A81" s="7" t="s">
        <v>585</v>
      </c>
      <c r="B81" s="5">
        <v>46023</v>
      </c>
      <c r="C81" s="17" t="str">
        <f ca="1">IF(B81="","",IF(OR(TRIM(R81)="En curso",TRIM(R81)="En proceso de ingreso"),TODAY()-B81,"Cerrada"))</f>
        <v>Cerrada</v>
      </c>
      <c r="D81" s="8" t="s">
        <v>144</v>
      </c>
      <c r="E81" s="8" t="s">
        <v>43</v>
      </c>
      <c r="F81" s="8"/>
      <c r="G81" s="8"/>
      <c r="H81" s="8"/>
      <c r="I81" s="8"/>
      <c r="J81" s="8" t="s">
        <v>145</v>
      </c>
      <c r="K81" s="8" t="s">
        <v>146</v>
      </c>
      <c r="L81" s="8" t="s">
        <v>347</v>
      </c>
      <c r="M81" s="8" t="s">
        <v>348</v>
      </c>
      <c r="N81" s="8" t="s">
        <v>213</v>
      </c>
      <c r="O81" s="8" t="s">
        <v>349</v>
      </c>
      <c r="P81" s="8" t="s">
        <v>350</v>
      </c>
      <c r="Q81" s="8"/>
      <c r="R81" s="8" t="s">
        <v>52</v>
      </c>
      <c r="S81" s="8" t="s">
        <v>53</v>
      </c>
      <c r="T81" s="8"/>
      <c r="U81" s="8"/>
      <c r="V81" s="8"/>
      <c r="W81" s="8" t="s">
        <v>54</v>
      </c>
      <c r="X81" s="8"/>
      <c r="Y81" s="8" t="s">
        <v>305</v>
      </c>
      <c r="Z81" s="8"/>
      <c r="AA81" s="8" t="s">
        <v>173</v>
      </c>
      <c r="AB81" s="8"/>
      <c r="AC81" s="8"/>
      <c r="AD81" s="8" t="s">
        <v>586</v>
      </c>
      <c r="AE81" s="8" t="s">
        <v>154</v>
      </c>
      <c r="AF81" s="5">
        <v>46058</v>
      </c>
      <c r="AG81" s="5">
        <v>46062</v>
      </c>
      <c r="AH81" s="5"/>
      <c r="AI81" s="8"/>
      <c r="AJ81" s="8" t="s">
        <v>587</v>
      </c>
      <c r="AK81" s="8"/>
      <c r="AL81" s="8" t="s">
        <v>207</v>
      </c>
      <c r="AM81" s="8" t="s">
        <v>77</v>
      </c>
      <c r="AN81" s="8"/>
      <c r="AO81" s="8" t="s">
        <v>588</v>
      </c>
    </row>
    <row r="82" spans="1:41" ht="28.5">
      <c r="A82" s="7" t="s">
        <v>589</v>
      </c>
      <c r="B82" s="5">
        <v>46023</v>
      </c>
      <c r="C82" s="17" t="str">
        <f ca="1">IF(B82="","",IF(OR(TRIM(R82)="En curso",TRIM(R82)="En proceso de ingreso"),TODAY()-B82,"Cerrada"))</f>
        <v>Cerrada</v>
      </c>
      <c r="D82" s="8" t="s">
        <v>144</v>
      </c>
      <c r="E82" s="8" t="s">
        <v>43</v>
      </c>
      <c r="F82" s="8"/>
      <c r="G82" s="8"/>
      <c r="H82" s="8"/>
      <c r="I82" s="8"/>
      <c r="J82" s="8" t="s">
        <v>145</v>
      </c>
      <c r="K82" s="8" t="s">
        <v>146</v>
      </c>
      <c r="L82" s="8" t="s">
        <v>222</v>
      </c>
      <c r="M82" s="8" t="s">
        <v>212</v>
      </c>
      <c r="N82" s="8" t="s">
        <v>223</v>
      </c>
      <c r="O82" s="8" t="s">
        <v>224</v>
      </c>
      <c r="P82" s="8" t="s">
        <v>225</v>
      </c>
      <c r="Q82" s="8"/>
      <c r="R82" s="8" t="s">
        <v>52</v>
      </c>
      <c r="S82" s="8" t="s">
        <v>53</v>
      </c>
      <c r="T82" s="8"/>
      <c r="U82" s="8"/>
      <c r="V82" s="8"/>
      <c r="W82" s="8" t="s">
        <v>54</v>
      </c>
      <c r="X82" s="8"/>
      <c r="Y82" s="8" t="s">
        <v>590</v>
      </c>
      <c r="Z82" s="8"/>
      <c r="AA82" s="8" t="s">
        <v>152</v>
      </c>
      <c r="AB82" s="8"/>
      <c r="AC82" s="8"/>
      <c r="AD82" s="8" t="s">
        <v>537</v>
      </c>
      <c r="AE82" s="8" t="s">
        <v>154</v>
      </c>
      <c r="AF82" s="5">
        <v>46072</v>
      </c>
      <c r="AG82" s="5">
        <v>46076</v>
      </c>
      <c r="AH82" s="5"/>
      <c r="AI82" s="8"/>
      <c r="AJ82" s="8" t="s">
        <v>591</v>
      </c>
      <c r="AK82" s="8" t="s">
        <v>539</v>
      </c>
      <c r="AL82" s="8" t="s">
        <v>207</v>
      </c>
      <c r="AM82" s="8" t="s">
        <v>77</v>
      </c>
      <c r="AN82" s="8"/>
      <c r="AO82" s="8"/>
    </row>
    <row r="83" spans="1:41" ht="28.5">
      <c r="A83" s="7" t="s">
        <v>592</v>
      </c>
      <c r="B83" s="5">
        <v>46023</v>
      </c>
      <c r="C83" s="17" t="str">
        <f ca="1">IF(B83="","",IF(OR(TRIM(R83)="En curso",TRIM(R83)="En proceso de ingreso"),TODAY()-B83,"Cerrada"))</f>
        <v>Cerrada</v>
      </c>
      <c r="D83" s="8" t="s">
        <v>144</v>
      </c>
      <c r="E83" s="8" t="s">
        <v>43</v>
      </c>
      <c r="F83" s="8"/>
      <c r="G83" s="8"/>
      <c r="H83" s="8"/>
      <c r="I83" s="8"/>
      <c r="J83" s="8" t="s">
        <v>145</v>
      </c>
      <c r="K83" s="8" t="s">
        <v>146</v>
      </c>
      <c r="L83" s="8" t="s">
        <v>222</v>
      </c>
      <c r="M83" s="8" t="s">
        <v>212</v>
      </c>
      <c r="N83" s="8" t="s">
        <v>223</v>
      </c>
      <c r="O83" s="8" t="s">
        <v>224</v>
      </c>
      <c r="P83" s="8" t="s">
        <v>225</v>
      </c>
      <c r="Q83" s="8"/>
      <c r="R83" s="8" t="s">
        <v>52</v>
      </c>
      <c r="S83" s="8" t="s">
        <v>53</v>
      </c>
      <c r="T83" s="8"/>
      <c r="U83" s="8"/>
      <c r="V83" s="8"/>
      <c r="W83" s="8" t="s">
        <v>54</v>
      </c>
      <c r="X83" s="8"/>
      <c r="Y83" s="8" t="s">
        <v>590</v>
      </c>
      <c r="Z83" s="8"/>
      <c r="AA83" s="8" t="s">
        <v>152</v>
      </c>
      <c r="AB83" s="8"/>
      <c r="AC83" s="8"/>
      <c r="AD83" s="8" t="s">
        <v>537</v>
      </c>
      <c r="AE83" s="8" t="s">
        <v>154</v>
      </c>
      <c r="AF83" s="5">
        <v>46072</v>
      </c>
      <c r="AG83" s="5">
        <v>46076</v>
      </c>
      <c r="AH83" s="5"/>
      <c r="AI83" s="8"/>
      <c r="AJ83" s="8" t="s">
        <v>593</v>
      </c>
      <c r="AK83" s="8" t="s">
        <v>539</v>
      </c>
      <c r="AL83" s="8" t="s">
        <v>207</v>
      </c>
      <c r="AM83" s="8" t="s">
        <v>77</v>
      </c>
      <c r="AN83" s="8"/>
      <c r="AO83" s="8"/>
    </row>
    <row r="84" spans="1:41" ht="28.5">
      <c r="A84" s="7" t="s">
        <v>594</v>
      </c>
      <c r="B84" s="5">
        <v>46023</v>
      </c>
      <c r="C84" s="17" t="str">
        <f ca="1">IF(B84="","",IF(OR(TRIM(R84)="En curso",TRIM(R84)="En proceso de ingreso"),TODAY()-B84,"Cerrada"))</f>
        <v>Cerrada</v>
      </c>
      <c r="D84" s="8" t="s">
        <v>144</v>
      </c>
      <c r="E84" s="8" t="s">
        <v>43</v>
      </c>
      <c r="F84" s="8"/>
      <c r="G84" s="8"/>
      <c r="H84" s="8"/>
      <c r="I84" s="8"/>
      <c r="J84" s="8" t="s">
        <v>145</v>
      </c>
      <c r="K84" s="8" t="s">
        <v>146</v>
      </c>
      <c r="L84" s="8" t="s">
        <v>222</v>
      </c>
      <c r="M84" s="8" t="s">
        <v>199</v>
      </c>
      <c r="N84" s="8" t="s">
        <v>223</v>
      </c>
      <c r="O84" s="8" t="s">
        <v>433</v>
      </c>
      <c r="P84" s="8" t="s">
        <v>225</v>
      </c>
      <c r="Q84" s="8"/>
      <c r="R84" s="8" t="s">
        <v>52</v>
      </c>
      <c r="S84" s="8" t="s">
        <v>53</v>
      </c>
      <c r="T84" s="8"/>
      <c r="U84" s="8"/>
      <c r="V84" s="8"/>
      <c r="W84" s="8" t="s">
        <v>54</v>
      </c>
      <c r="X84" s="8"/>
      <c r="Y84" s="8" t="s">
        <v>595</v>
      </c>
      <c r="Z84" s="8"/>
      <c r="AA84" s="8" t="s">
        <v>173</v>
      </c>
      <c r="AB84" s="8"/>
      <c r="AC84" s="8"/>
      <c r="AD84" s="8" t="s">
        <v>596</v>
      </c>
      <c r="AE84" s="8" t="s">
        <v>154</v>
      </c>
      <c r="AF84" s="5">
        <v>46037</v>
      </c>
      <c r="AG84" s="5">
        <v>46055</v>
      </c>
      <c r="AH84" s="5"/>
      <c r="AI84" s="8"/>
      <c r="AJ84" s="8" t="s">
        <v>597</v>
      </c>
      <c r="AK84" s="8" t="s">
        <v>523</v>
      </c>
      <c r="AL84" s="8" t="s">
        <v>207</v>
      </c>
      <c r="AM84" s="8" t="s">
        <v>77</v>
      </c>
      <c r="AN84" s="8"/>
      <c r="AO84" s="8"/>
    </row>
    <row r="85" spans="1:41" ht="28.5">
      <c r="A85" s="7" t="s">
        <v>598</v>
      </c>
      <c r="B85" s="5">
        <v>46023</v>
      </c>
      <c r="C85" s="17" t="str">
        <f ca="1">IF(B85="","",IF(OR(TRIM(R85)="En curso",TRIM(R85)="En proceso de ingreso"),TODAY()-B85,"Cerrada"))</f>
        <v>Cerrada</v>
      </c>
      <c r="D85" s="8" t="s">
        <v>144</v>
      </c>
      <c r="E85" s="8" t="s">
        <v>43</v>
      </c>
      <c r="F85" s="8"/>
      <c r="G85" s="8"/>
      <c r="H85" s="8"/>
      <c r="I85" s="8"/>
      <c r="J85" s="8" t="s">
        <v>145</v>
      </c>
      <c r="K85" s="8" t="s">
        <v>146</v>
      </c>
      <c r="L85" s="8" t="s">
        <v>222</v>
      </c>
      <c r="M85" s="8" t="s">
        <v>199</v>
      </c>
      <c r="N85" s="8" t="s">
        <v>223</v>
      </c>
      <c r="O85" s="8" t="s">
        <v>433</v>
      </c>
      <c r="P85" s="8" t="s">
        <v>225</v>
      </c>
      <c r="Q85" s="8"/>
      <c r="R85" s="8" t="s">
        <v>52</v>
      </c>
      <c r="S85" s="8" t="s">
        <v>53</v>
      </c>
      <c r="T85" s="8"/>
      <c r="U85" s="8"/>
      <c r="V85" s="8"/>
      <c r="W85" s="8" t="s">
        <v>54</v>
      </c>
      <c r="X85" s="8"/>
      <c r="Y85" s="8" t="s">
        <v>599</v>
      </c>
      <c r="Z85" s="8"/>
      <c r="AA85" s="8" t="s">
        <v>173</v>
      </c>
      <c r="AB85" s="8"/>
      <c r="AC85" s="8"/>
      <c r="AD85" s="8" t="s">
        <v>600</v>
      </c>
      <c r="AE85" s="8" t="s">
        <v>154</v>
      </c>
      <c r="AF85" s="5">
        <v>46050</v>
      </c>
      <c r="AG85" s="5">
        <v>46055</v>
      </c>
      <c r="AH85" s="5"/>
      <c r="AI85" s="8"/>
      <c r="AJ85" s="8" t="s">
        <v>601</v>
      </c>
      <c r="AK85" s="8" t="s">
        <v>602</v>
      </c>
      <c r="AL85" s="8" t="s">
        <v>207</v>
      </c>
      <c r="AM85" s="8" t="s">
        <v>77</v>
      </c>
      <c r="AN85" s="8"/>
      <c r="AO85" s="8"/>
    </row>
    <row r="86" spans="1:41">
      <c r="A86" s="7" t="s">
        <v>603</v>
      </c>
      <c r="B86" s="5">
        <v>46023</v>
      </c>
      <c r="C86" s="17" t="str">
        <f ca="1">IF(B86="","",IF(OR(TRIM(R86)="En curso",TRIM(R86)="En proceso de ingreso"),TODAY()-B86,"Cerrada"))</f>
        <v>Cerrada</v>
      </c>
      <c r="D86" s="8" t="s">
        <v>144</v>
      </c>
      <c r="E86" s="8" t="s">
        <v>43</v>
      </c>
      <c r="F86" s="8"/>
      <c r="G86" s="8"/>
      <c r="H86" s="8"/>
      <c r="I86" s="8"/>
      <c r="J86" s="8" t="s">
        <v>145</v>
      </c>
      <c r="K86" s="8" t="s">
        <v>146</v>
      </c>
      <c r="L86" s="8" t="s">
        <v>222</v>
      </c>
      <c r="M86" s="8" t="s">
        <v>604</v>
      </c>
      <c r="N86" s="8" t="s">
        <v>223</v>
      </c>
      <c r="O86" s="8" t="s">
        <v>605</v>
      </c>
      <c r="P86" s="8" t="s">
        <v>606</v>
      </c>
      <c r="Q86" s="8"/>
      <c r="R86" s="8" t="s">
        <v>52</v>
      </c>
      <c r="S86" s="8" t="s">
        <v>53</v>
      </c>
      <c r="T86" s="8"/>
      <c r="U86" s="8"/>
      <c r="V86" s="8"/>
      <c r="W86" s="8" t="s">
        <v>54</v>
      </c>
      <c r="X86" s="8"/>
      <c r="Y86" s="8" t="s">
        <v>607</v>
      </c>
      <c r="Z86" s="8"/>
      <c r="AA86" s="8" t="s">
        <v>474</v>
      </c>
      <c r="AB86" s="8"/>
      <c r="AC86" s="8"/>
      <c r="AD86" s="8" t="s">
        <v>608</v>
      </c>
      <c r="AE86" s="8" t="s">
        <v>154</v>
      </c>
      <c r="AF86" s="5">
        <v>46132</v>
      </c>
      <c r="AG86" s="5">
        <v>46132</v>
      </c>
      <c r="AH86" s="5" t="s">
        <v>609</v>
      </c>
      <c r="AI86" s="8"/>
      <c r="AJ86" s="8" t="s">
        <v>610</v>
      </c>
      <c r="AK86" s="8" t="s">
        <v>611</v>
      </c>
      <c r="AL86" s="8" t="s">
        <v>207</v>
      </c>
      <c r="AM86" s="8" t="s">
        <v>77</v>
      </c>
      <c r="AN86" s="8"/>
      <c r="AO86" s="8" t="s">
        <v>612</v>
      </c>
    </row>
    <row r="87" spans="1:41" ht="28.5">
      <c r="A87" s="7" t="s">
        <v>613</v>
      </c>
      <c r="B87" s="5">
        <v>46024</v>
      </c>
      <c r="C87" s="17" t="str">
        <f ca="1">IF(B87="","",IF(OR(TRIM(R87)="En curso",TRIM(R87)="En proceso de ingreso"),TODAY()-B87,"Cerrada"))</f>
        <v>Cerrada</v>
      </c>
      <c r="D87" s="8" t="s">
        <v>144</v>
      </c>
      <c r="E87" s="8" t="s">
        <v>43</v>
      </c>
      <c r="F87" s="8"/>
      <c r="G87" s="8"/>
      <c r="H87" s="8"/>
      <c r="I87" s="8"/>
      <c r="J87" s="8" t="s">
        <v>145</v>
      </c>
      <c r="K87" s="8" t="s">
        <v>146</v>
      </c>
      <c r="L87" s="8" t="s">
        <v>347</v>
      </c>
      <c r="M87" s="8" t="s">
        <v>348</v>
      </c>
      <c r="N87" s="8" t="s">
        <v>213</v>
      </c>
      <c r="O87" s="8" t="s">
        <v>614</v>
      </c>
      <c r="P87" s="8" t="s">
        <v>615</v>
      </c>
      <c r="Q87" s="8"/>
      <c r="R87" s="8" t="s">
        <v>52</v>
      </c>
      <c r="S87" s="8" t="s">
        <v>53</v>
      </c>
      <c r="T87" s="8"/>
      <c r="U87" s="8"/>
      <c r="V87" s="8"/>
      <c r="W87" s="8" t="s">
        <v>54</v>
      </c>
      <c r="X87" s="8"/>
      <c r="Y87" s="8" t="s">
        <v>616</v>
      </c>
      <c r="Z87" s="8"/>
      <c r="AA87" s="8" t="s">
        <v>56</v>
      </c>
      <c r="AB87" s="8"/>
      <c r="AC87" s="8"/>
      <c r="AD87" s="8" t="s">
        <v>617</v>
      </c>
      <c r="AE87" s="8" t="s">
        <v>154</v>
      </c>
      <c r="AF87" s="5">
        <v>46043</v>
      </c>
      <c r="AG87" s="5">
        <v>46045</v>
      </c>
      <c r="AH87" s="5"/>
      <c r="AI87" s="8"/>
      <c r="AJ87" s="8" t="s">
        <v>618</v>
      </c>
      <c r="AK87" s="8" t="s">
        <v>619</v>
      </c>
      <c r="AL87" s="8" t="s">
        <v>207</v>
      </c>
      <c r="AM87" s="8" t="s">
        <v>77</v>
      </c>
      <c r="AN87" s="8"/>
      <c r="AO87" s="8"/>
    </row>
    <row r="88" spans="1:41" ht="28.5">
      <c r="A88" s="7" t="s">
        <v>620</v>
      </c>
      <c r="B88" s="5">
        <v>46024</v>
      </c>
      <c r="C88" s="17" t="str">
        <f ca="1">IF(B88="","",IF(OR(TRIM(R88)="En curso",TRIM(R88)="En proceso de ingreso"),TODAY()-B88,"Cerrada"))</f>
        <v>Cerrada</v>
      </c>
      <c r="D88" s="8" t="s">
        <v>144</v>
      </c>
      <c r="E88" s="8" t="s">
        <v>43</v>
      </c>
      <c r="F88" s="8"/>
      <c r="G88" s="8"/>
      <c r="H88" s="8"/>
      <c r="I88" s="8"/>
      <c r="J88" s="8" t="s">
        <v>145</v>
      </c>
      <c r="K88" s="8" t="s">
        <v>146</v>
      </c>
      <c r="L88" s="8" t="s">
        <v>293</v>
      </c>
      <c r="M88" s="8" t="s">
        <v>294</v>
      </c>
      <c r="N88" s="8" t="s">
        <v>170</v>
      </c>
      <c r="O88" s="8" t="s">
        <v>295</v>
      </c>
      <c r="P88" s="8" t="s">
        <v>296</v>
      </c>
      <c r="Q88" s="8"/>
      <c r="R88" s="8" t="s">
        <v>52</v>
      </c>
      <c r="S88" s="8" t="s">
        <v>53</v>
      </c>
      <c r="T88" s="8"/>
      <c r="U88" s="8"/>
      <c r="V88" s="8"/>
      <c r="W88" s="8" t="s">
        <v>54</v>
      </c>
      <c r="X88" s="8"/>
      <c r="Y88" s="8" t="s">
        <v>621</v>
      </c>
      <c r="Z88" s="8"/>
      <c r="AA88" s="8" t="s">
        <v>152</v>
      </c>
      <c r="AB88" s="8"/>
      <c r="AC88" s="8"/>
      <c r="AD88" s="8" t="s">
        <v>622</v>
      </c>
      <c r="AE88" s="8" t="s">
        <v>154</v>
      </c>
      <c r="AF88" s="5">
        <v>46037</v>
      </c>
      <c r="AG88" s="5">
        <v>46045</v>
      </c>
      <c r="AH88" s="5"/>
      <c r="AI88" s="8"/>
      <c r="AJ88" s="8" t="s">
        <v>623</v>
      </c>
      <c r="AK88" s="8" t="s">
        <v>624</v>
      </c>
      <c r="AL88" s="8" t="s">
        <v>207</v>
      </c>
      <c r="AM88" s="8" t="s">
        <v>77</v>
      </c>
      <c r="AN88" s="8"/>
      <c r="AO88" s="8"/>
    </row>
    <row r="89" spans="1:41" ht="28.5">
      <c r="A89" s="7" t="s">
        <v>625</v>
      </c>
      <c r="B89" s="5">
        <v>46024</v>
      </c>
      <c r="C89" s="17" t="str">
        <f ca="1">IF(B89="","",IF(OR(TRIM(R89)="En curso",TRIM(R89)="En proceso de ingreso"),TODAY()-B89,"Cerrada"))</f>
        <v>Cerrada</v>
      </c>
      <c r="D89" s="8" t="s">
        <v>144</v>
      </c>
      <c r="E89" s="8" t="s">
        <v>43</v>
      </c>
      <c r="F89" s="8"/>
      <c r="G89" s="8"/>
      <c r="H89" s="8"/>
      <c r="I89" s="8"/>
      <c r="J89" s="8" t="s">
        <v>145</v>
      </c>
      <c r="K89" s="8" t="s">
        <v>146</v>
      </c>
      <c r="L89" s="8" t="s">
        <v>293</v>
      </c>
      <c r="M89" s="8" t="s">
        <v>294</v>
      </c>
      <c r="N89" s="8" t="s">
        <v>170</v>
      </c>
      <c r="O89" s="8" t="s">
        <v>295</v>
      </c>
      <c r="P89" s="8" t="s">
        <v>296</v>
      </c>
      <c r="Q89" s="8"/>
      <c r="R89" s="8" t="s">
        <v>52</v>
      </c>
      <c r="S89" s="8" t="s">
        <v>53</v>
      </c>
      <c r="T89" s="8"/>
      <c r="U89" s="8"/>
      <c r="V89" s="8"/>
      <c r="W89" s="8" t="s">
        <v>54</v>
      </c>
      <c r="X89" s="8"/>
      <c r="Y89" s="8" t="s">
        <v>626</v>
      </c>
      <c r="Z89" s="8"/>
      <c r="AA89" s="8" t="s">
        <v>152</v>
      </c>
      <c r="AB89" s="8"/>
      <c r="AC89" s="8"/>
      <c r="AD89" s="8" t="s">
        <v>622</v>
      </c>
      <c r="AE89" s="8" t="s">
        <v>154</v>
      </c>
      <c r="AF89" s="5">
        <v>46037</v>
      </c>
      <c r="AG89" s="5">
        <v>46045</v>
      </c>
      <c r="AH89" s="5"/>
      <c r="AI89" s="8"/>
      <c r="AJ89" s="8" t="s">
        <v>627</v>
      </c>
      <c r="AK89" s="8" t="s">
        <v>624</v>
      </c>
      <c r="AL89" s="8" t="s">
        <v>207</v>
      </c>
      <c r="AM89" s="8" t="s">
        <v>77</v>
      </c>
      <c r="AN89" s="8"/>
      <c r="AO89" s="8"/>
    </row>
    <row r="90" spans="1:41" ht="28.5">
      <c r="A90" s="7" t="s">
        <v>628</v>
      </c>
      <c r="B90" s="5">
        <v>46024</v>
      </c>
      <c r="C90" s="17" t="str">
        <f ca="1">IF(B90="","",IF(OR(TRIM(R90)="En curso",TRIM(R90)="En proceso de ingreso"),TODAY()-B90,"Cerrada"))</f>
        <v>Cerrada</v>
      </c>
      <c r="D90" s="8" t="s">
        <v>144</v>
      </c>
      <c r="E90" s="8" t="s">
        <v>43</v>
      </c>
      <c r="F90" s="8"/>
      <c r="G90" s="8"/>
      <c r="H90" s="8"/>
      <c r="I90" s="8"/>
      <c r="J90" s="8" t="s">
        <v>145</v>
      </c>
      <c r="K90" s="8" t="s">
        <v>146</v>
      </c>
      <c r="L90" s="8" t="s">
        <v>198</v>
      </c>
      <c r="M90" s="8" t="s">
        <v>199</v>
      </c>
      <c r="N90" s="8" t="s">
        <v>200</v>
      </c>
      <c r="O90" s="8" t="s">
        <v>303</v>
      </c>
      <c r="P90" s="8" t="s">
        <v>202</v>
      </c>
      <c r="Q90" s="8"/>
      <c r="R90" s="8" t="s">
        <v>52</v>
      </c>
      <c r="S90" s="8" t="s">
        <v>53</v>
      </c>
      <c r="T90" s="8"/>
      <c r="U90" s="8"/>
      <c r="V90" s="8"/>
      <c r="W90" s="8" t="s">
        <v>54</v>
      </c>
      <c r="X90" s="8"/>
      <c r="Y90" s="8" t="s">
        <v>629</v>
      </c>
      <c r="Z90" s="8"/>
      <c r="AA90" s="8" t="s">
        <v>152</v>
      </c>
      <c r="AB90" s="8"/>
      <c r="AC90" s="8"/>
      <c r="AD90" s="8" t="s">
        <v>630</v>
      </c>
      <c r="AE90" s="8" t="s">
        <v>154</v>
      </c>
      <c r="AF90" s="5">
        <v>46041</v>
      </c>
      <c r="AG90" s="5">
        <v>46045</v>
      </c>
      <c r="AH90" s="5"/>
      <c r="AI90" s="8"/>
      <c r="AJ90" s="8" t="s">
        <v>631</v>
      </c>
      <c r="AK90" s="8" t="s">
        <v>632</v>
      </c>
      <c r="AL90" s="8" t="s">
        <v>207</v>
      </c>
      <c r="AM90" s="8" t="s">
        <v>77</v>
      </c>
      <c r="AN90" s="8"/>
      <c r="AO90" s="8"/>
    </row>
    <row r="91" spans="1:41" ht="28.5">
      <c r="A91" s="7" t="s">
        <v>633</v>
      </c>
      <c r="B91" s="5">
        <v>46024</v>
      </c>
      <c r="C91" s="17" t="str">
        <f ca="1">IF(B91="","",IF(OR(TRIM(R91)="En curso",TRIM(R91)="En proceso de ingreso"),TODAY()-B91,"Cerrada"))</f>
        <v>Cerrada</v>
      </c>
      <c r="D91" s="8" t="s">
        <v>144</v>
      </c>
      <c r="E91" s="8" t="s">
        <v>43</v>
      </c>
      <c r="F91" s="8"/>
      <c r="G91" s="8"/>
      <c r="H91" s="8"/>
      <c r="I91" s="8"/>
      <c r="J91" s="8" t="s">
        <v>145</v>
      </c>
      <c r="K91" s="8" t="s">
        <v>146</v>
      </c>
      <c r="L91" s="8" t="s">
        <v>198</v>
      </c>
      <c r="M91" s="8" t="s">
        <v>199</v>
      </c>
      <c r="N91" s="8" t="s">
        <v>200</v>
      </c>
      <c r="O91" s="8" t="s">
        <v>303</v>
      </c>
      <c r="P91" s="8" t="s">
        <v>202</v>
      </c>
      <c r="Q91" s="8"/>
      <c r="R91" s="8" t="s">
        <v>52</v>
      </c>
      <c r="S91" s="8" t="s">
        <v>53</v>
      </c>
      <c r="T91" s="8"/>
      <c r="U91" s="8"/>
      <c r="V91" s="8"/>
      <c r="W91" s="8" t="s">
        <v>54</v>
      </c>
      <c r="X91" s="8"/>
      <c r="Y91" s="8" t="s">
        <v>634</v>
      </c>
      <c r="Z91" s="8"/>
      <c r="AA91" s="8" t="s">
        <v>152</v>
      </c>
      <c r="AB91" s="8"/>
      <c r="AC91" s="8"/>
      <c r="AD91" s="8" t="s">
        <v>630</v>
      </c>
      <c r="AE91" s="8" t="s">
        <v>154</v>
      </c>
      <c r="AF91" s="5">
        <v>46041</v>
      </c>
      <c r="AG91" s="5">
        <v>46045</v>
      </c>
      <c r="AH91" s="5"/>
      <c r="AI91" s="8"/>
      <c r="AJ91" s="8" t="s">
        <v>635</v>
      </c>
      <c r="AK91" s="8" t="s">
        <v>632</v>
      </c>
      <c r="AL91" s="8" t="s">
        <v>207</v>
      </c>
      <c r="AM91" s="8" t="s">
        <v>77</v>
      </c>
      <c r="AN91" s="8"/>
      <c r="AO91" s="8"/>
    </row>
    <row r="92" spans="1:41" ht="28.5">
      <c r="A92" s="7" t="s">
        <v>636</v>
      </c>
      <c r="B92" s="5">
        <v>46025</v>
      </c>
      <c r="C92" s="17" t="str">
        <f ca="1">IF(B92="","",IF(OR(TRIM(R92)="En curso",TRIM(R92)="En proceso de ingreso"),TODAY()-B92,"Cerrada"))</f>
        <v>Cerrada</v>
      </c>
      <c r="D92" s="8" t="s">
        <v>144</v>
      </c>
      <c r="E92" s="8" t="s">
        <v>43</v>
      </c>
      <c r="F92" s="8"/>
      <c r="G92" s="8"/>
      <c r="H92" s="8"/>
      <c r="I92" s="8"/>
      <c r="J92" s="8" t="s">
        <v>145</v>
      </c>
      <c r="K92" s="8" t="s">
        <v>146</v>
      </c>
      <c r="L92" s="8" t="s">
        <v>198</v>
      </c>
      <c r="M92" s="8" t="s">
        <v>199</v>
      </c>
      <c r="N92" s="8" t="s">
        <v>200</v>
      </c>
      <c r="O92" s="8" t="s">
        <v>201</v>
      </c>
      <c r="P92" s="8" t="s">
        <v>202</v>
      </c>
      <c r="Q92" s="8"/>
      <c r="R92" s="8" t="s">
        <v>52</v>
      </c>
      <c r="S92" s="8" t="s">
        <v>53</v>
      </c>
      <c r="T92" s="8"/>
      <c r="U92" s="8"/>
      <c r="V92" s="8"/>
      <c r="W92" s="8" t="s">
        <v>54</v>
      </c>
      <c r="X92" s="8"/>
      <c r="Y92" s="8" t="s">
        <v>637</v>
      </c>
      <c r="Z92" s="8"/>
      <c r="AA92" s="8" t="s">
        <v>152</v>
      </c>
      <c r="AB92" s="8"/>
      <c r="AC92" s="8"/>
      <c r="AD92" s="8" t="s">
        <v>204</v>
      </c>
      <c r="AE92" s="8" t="s">
        <v>154</v>
      </c>
      <c r="AF92" s="5">
        <v>46028</v>
      </c>
      <c r="AG92" s="5">
        <v>46041</v>
      </c>
      <c r="AH92" s="5"/>
      <c r="AI92" s="8"/>
      <c r="AJ92" s="8" t="s">
        <v>638</v>
      </c>
      <c r="AK92" s="8" t="s">
        <v>427</v>
      </c>
      <c r="AL92" s="8" t="s">
        <v>207</v>
      </c>
      <c r="AM92" s="8" t="s">
        <v>77</v>
      </c>
      <c r="AN92" s="8"/>
      <c r="AO92" s="8"/>
    </row>
    <row r="93" spans="1:41" ht="28.5">
      <c r="A93" s="7" t="s">
        <v>639</v>
      </c>
      <c r="B93" s="5">
        <v>46025</v>
      </c>
      <c r="C93" s="17" t="str">
        <f ca="1">IF(B93="","",IF(OR(TRIM(R93)="En curso",TRIM(R93)="En proceso de ingreso"),TODAY()-B93,"Cerrada"))</f>
        <v>Cerrada</v>
      </c>
      <c r="D93" s="8" t="s">
        <v>144</v>
      </c>
      <c r="E93" s="8" t="s">
        <v>43</v>
      </c>
      <c r="F93" s="8"/>
      <c r="G93" s="8"/>
      <c r="H93" s="8"/>
      <c r="I93" s="8"/>
      <c r="J93" s="8" t="s">
        <v>145</v>
      </c>
      <c r="K93" s="8" t="s">
        <v>146</v>
      </c>
      <c r="L93" s="8" t="s">
        <v>198</v>
      </c>
      <c r="M93" s="8" t="s">
        <v>199</v>
      </c>
      <c r="N93" s="8" t="s">
        <v>200</v>
      </c>
      <c r="O93" s="8" t="s">
        <v>201</v>
      </c>
      <c r="P93" s="8" t="s">
        <v>202</v>
      </c>
      <c r="Q93" s="8"/>
      <c r="R93" s="8" t="s">
        <v>52</v>
      </c>
      <c r="S93" s="8" t="s">
        <v>53</v>
      </c>
      <c r="T93" s="8"/>
      <c r="U93" s="8"/>
      <c r="V93" s="8"/>
      <c r="W93" s="8" t="s">
        <v>54</v>
      </c>
      <c r="X93" s="8"/>
      <c r="Y93" s="8" t="s">
        <v>640</v>
      </c>
      <c r="Z93" s="8"/>
      <c r="AA93" s="8" t="s">
        <v>152</v>
      </c>
      <c r="AB93" s="8"/>
      <c r="AC93" s="8"/>
      <c r="AD93" s="8" t="s">
        <v>204</v>
      </c>
      <c r="AE93" s="8" t="s">
        <v>154</v>
      </c>
      <c r="AF93" s="5">
        <v>46037</v>
      </c>
      <c r="AG93" s="5">
        <v>46045</v>
      </c>
      <c r="AH93" s="5"/>
      <c r="AI93" s="8"/>
      <c r="AJ93" s="8" t="s">
        <v>641</v>
      </c>
      <c r="AK93" s="8" t="s">
        <v>482</v>
      </c>
      <c r="AL93" s="8" t="s">
        <v>207</v>
      </c>
      <c r="AM93" s="8" t="s">
        <v>77</v>
      </c>
      <c r="AN93" s="8"/>
      <c r="AO93" s="8" t="s">
        <v>642</v>
      </c>
    </row>
    <row r="94" spans="1:41" ht="28.5">
      <c r="A94" s="7" t="s">
        <v>643</v>
      </c>
      <c r="B94" s="5">
        <v>46025</v>
      </c>
      <c r="C94" s="17" t="str">
        <f ca="1">IF(B94="","",IF(OR(TRIM(R94)="En curso",TRIM(R94)="En proceso de ingreso"),TODAY()-B94,"Cerrada"))</f>
        <v>Cerrada</v>
      </c>
      <c r="D94" s="8" t="s">
        <v>144</v>
      </c>
      <c r="E94" s="8" t="s">
        <v>43</v>
      </c>
      <c r="F94" s="8"/>
      <c r="G94" s="8"/>
      <c r="H94" s="8"/>
      <c r="I94" s="8"/>
      <c r="J94" s="8" t="s">
        <v>145</v>
      </c>
      <c r="K94" s="8" t="s">
        <v>146</v>
      </c>
      <c r="L94" s="8" t="s">
        <v>198</v>
      </c>
      <c r="M94" s="8" t="s">
        <v>199</v>
      </c>
      <c r="N94" s="8" t="s">
        <v>200</v>
      </c>
      <c r="O94" s="8" t="s">
        <v>201</v>
      </c>
      <c r="P94" s="8" t="s">
        <v>202</v>
      </c>
      <c r="Q94" s="8"/>
      <c r="R94" s="8" t="s">
        <v>52</v>
      </c>
      <c r="S94" s="8" t="s">
        <v>53</v>
      </c>
      <c r="T94" s="8"/>
      <c r="U94" s="8"/>
      <c r="V94" s="8"/>
      <c r="W94" s="8" t="s">
        <v>54</v>
      </c>
      <c r="X94" s="8"/>
      <c r="Y94" s="8" t="s">
        <v>644</v>
      </c>
      <c r="Z94" s="8"/>
      <c r="AA94" s="8" t="s">
        <v>152</v>
      </c>
      <c r="AB94" s="8"/>
      <c r="AC94" s="8"/>
      <c r="AD94" s="8" t="s">
        <v>204</v>
      </c>
      <c r="AE94" s="8" t="s">
        <v>154</v>
      </c>
      <c r="AF94" s="5">
        <v>46028</v>
      </c>
      <c r="AG94" s="5">
        <v>46041</v>
      </c>
      <c r="AH94" s="5"/>
      <c r="AI94" s="8"/>
      <c r="AJ94" s="8" t="s">
        <v>645</v>
      </c>
      <c r="AK94" s="8" t="s">
        <v>427</v>
      </c>
      <c r="AL94" s="8" t="s">
        <v>207</v>
      </c>
      <c r="AM94" s="8" t="s">
        <v>77</v>
      </c>
      <c r="AN94" s="8"/>
      <c r="AO94" s="8"/>
    </row>
    <row r="95" spans="1:41" ht="28.5">
      <c r="A95" s="7" t="s">
        <v>646</v>
      </c>
      <c r="B95" s="5">
        <v>46027</v>
      </c>
      <c r="C95" s="17" t="str">
        <f ca="1">IF(B95="","",IF(OR(TRIM(R95)="En curso",TRIM(R95)="En proceso de ingreso"),TODAY()-B95,"Cerrada"))</f>
        <v>Cerrada</v>
      </c>
      <c r="D95" s="8" t="s">
        <v>42</v>
      </c>
      <c r="E95" s="8" t="s">
        <v>43</v>
      </c>
      <c r="F95" s="8"/>
      <c r="G95" s="8"/>
      <c r="H95" s="8"/>
      <c r="I95" s="8"/>
      <c r="J95" s="8" t="s">
        <v>190</v>
      </c>
      <c r="K95" s="8" t="s">
        <v>190</v>
      </c>
      <c r="L95" s="8" t="s">
        <v>282</v>
      </c>
      <c r="M95" s="8" t="s">
        <v>282</v>
      </c>
      <c r="N95" s="8" t="s">
        <v>469</v>
      </c>
      <c r="O95" s="8" t="s">
        <v>647</v>
      </c>
      <c r="P95" s="8" t="s">
        <v>648</v>
      </c>
      <c r="Q95" s="8"/>
      <c r="R95" s="8" t="s">
        <v>52</v>
      </c>
      <c r="S95" s="8" t="s">
        <v>53</v>
      </c>
      <c r="T95" s="8"/>
      <c r="U95" s="8" t="s">
        <v>69</v>
      </c>
      <c r="V95" s="8" t="s">
        <v>70</v>
      </c>
      <c r="W95" s="8" t="s">
        <v>54</v>
      </c>
      <c r="X95" s="8"/>
      <c r="Y95" s="8" t="s">
        <v>649</v>
      </c>
      <c r="Z95" s="8"/>
      <c r="AA95" s="8" t="s">
        <v>56</v>
      </c>
      <c r="AB95" s="8"/>
      <c r="AC95" s="8"/>
      <c r="AD95" s="8" t="s">
        <v>650</v>
      </c>
      <c r="AE95" s="8" t="s">
        <v>651</v>
      </c>
      <c r="AF95" s="5">
        <v>46077</v>
      </c>
      <c r="AG95" s="5">
        <v>46090</v>
      </c>
      <c r="AH95" s="5" t="s">
        <v>73</v>
      </c>
      <c r="AI95" s="8"/>
      <c r="AJ95" s="8" t="s">
        <v>652</v>
      </c>
      <c r="AK95" s="8" t="s">
        <v>653</v>
      </c>
      <c r="AL95" s="8" t="s">
        <v>61</v>
      </c>
      <c r="AM95" s="8" t="s">
        <v>77</v>
      </c>
      <c r="AN95" s="8" t="s">
        <v>44</v>
      </c>
      <c r="AO95" s="8" t="s">
        <v>654</v>
      </c>
    </row>
    <row r="96" spans="1:41" ht="28.5">
      <c r="A96" s="7" t="s">
        <v>655</v>
      </c>
      <c r="B96" s="5">
        <v>46027</v>
      </c>
      <c r="C96" s="17" t="str">
        <f ca="1">IF(B96="","",IF(OR(TRIM(R96)="En curso",TRIM(R96)="En proceso de ingreso"),TODAY()-B96,"Cerrada"))</f>
        <v>Cerrada</v>
      </c>
      <c r="D96" s="8" t="s">
        <v>144</v>
      </c>
      <c r="E96" s="8" t="s">
        <v>43</v>
      </c>
      <c r="F96" s="8"/>
      <c r="G96" s="8"/>
      <c r="H96" s="8"/>
      <c r="I96" s="8"/>
      <c r="J96" s="8" t="s">
        <v>145</v>
      </c>
      <c r="K96" s="8" t="s">
        <v>146</v>
      </c>
      <c r="L96" s="8" t="s">
        <v>293</v>
      </c>
      <c r="M96" s="8" t="s">
        <v>294</v>
      </c>
      <c r="N96" s="8" t="s">
        <v>170</v>
      </c>
      <c r="O96" s="8" t="s">
        <v>295</v>
      </c>
      <c r="P96" s="8" t="s">
        <v>296</v>
      </c>
      <c r="Q96" s="8"/>
      <c r="R96" s="8" t="s">
        <v>52</v>
      </c>
      <c r="S96" s="8" t="s">
        <v>53</v>
      </c>
      <c r="T96" s="8"/>
      <c r="U96" s="8"/>
      <c r="V96" s="8"/>
      <c r="W96" s="8" t="s">
        <v>54</v>
      </c>
      <c r="X96" s="8"/>
      <c r="Y96" s="8" t="s">
        <v>656</v>
      </c>
      <c r="Z96" s="8"/>
      <c r="AA96" s="8" t="s">
        <v>152</v>
      </c>
      <c r="AB96" s="8"/>
      <c r="AC96" s="8"/>
      <c r="AD96" s="8" t="s">
        <v>622</v>
      </c>
      <c r="AE96" s="8" t="s">
        <v>154</v>
      </c>
      <c r="AF96" s="5">
        <v>46037</v>
      </c>
      <c r="AG96" s="5">
        <v>46045</v>
      </c>
      <c r="AH96" s="5"/>
      <c r="AI96" s="8"/>
      <c r="AJ96" s="8" t="s">
        <v>657</v>
      </c>
      <c r="AK96" s="8" t="s">
        <v>624</v>
      </c>
      <c r="AL96" s="8" t="s">
        <v>207</v>
      </c>
      <c r="AM96" s="8" t="s">
        <v>77</v>
      </c>
      <c r="AN96" s="8"/>
      <c r="AO96" s="8"/>
    </row>
    <row r="97" spans="1:41" ht="28.5">
      <c r="A97" s="7" t="s">
        <v>658</v>
      </c>
      <c r="B97" s="5">
        <v>46028</v>
      </c>
      <c r="C97" s="17" t="str">
        <f ca="1">IF(B97="","",IF(OR(TRIM(R97)="En curso",TRIM(R97)="En proceso de ingreso"),TODAY()-B97,"Cerrada"))</f>
        <v>Cerrada</v>
      </c>
      <c r="D97" s="8" t="s">
        <v>144</v>
      </c>
      <c r="E97" s="8" t="s">
        <v>43</v>
      </c>
      <c r="F97" s="8"/>
      <c r="G97" s="8"/>
      <c r="H97" s="8"/>
      <c r="I97" s="8"/>
      <c r="J97" s="8" t="s">
        <v>180</v>
      </c>
      <c r="K97" s="8" t="s">
        <v>659</v>
      </c>
      <c r="L97" s="8" t="s">
        <v>332</v>
      </c>
      <c r="M97" s="8" t="s">
        <v>249</v>
      </c>
      <c r="N97" s="8" t="s">
        <v>170</v>
      </c>
      <c r="O97" s="8" t="s">
        <v>660</v>
      </c>
      <c r="P97" s="8" t="s">
        <v>661</v>
      </c>
      <c r="Q97" s="8"/>
      <c r="R97" s="8" t="s">
        <v>52</v>
      </c>
      <c r="S97" s="8" t="s">
        <v>53</v>
      </c>
      <c r="T97" s="8"/>
      <c r="U97" s="8"/>
      <c r="V97" s="8"/>
      <c r="W97" s="8" t="s">
        <v>54</v>
      </c>
      <c r="X97" s="8"/>
      <c r="Y97" s="8" t="s">
        <v>662</v>
      </c>
      <c r="Z97" s="8"/>
      <c r="AA97" s="8" t="s">
        <v>152</v>
      </c>
      <c r="AB97" s="8"/>
      <c r="AC97" s="8"/>
      <c r="AD97" s="8" t="s">
        <v>663</v>
      </c>
      <c r="AE97" s="8" t="s">
        <v>664</v>
      </c>
      <c r="AF97" s="5">
        <v>46063</v>
      </c>
      <c r="AG97" s="5">
        <v>46076</v>
      </c>
      <c r="AH97" s="5"/>
      <c r="AI97" s="8"/>
      <c r="AJ97" s="8" t="s">
        <v>665</v>
      </c>
      <c r="AK97" s="8" t="s">
        <v>666</v>
      </c>
      <c r="AL97" s="8" t="s">
        <v>61</v>
      </c>
      <c r="AM97" s="8" t="s">
        <v>77</v>
      </c>
      <c r="AN97" s="8"/>
      <c r="AO97" s="8"/>
    </row>
    <row r="98" spans="1:41" ht="28.5">
      <c r="A98" s="7" t="s">
        <v>667</v>
      </c>
      <c r="B98" s="5">
        <v>46029</v>
      </c>
      <c r="C98" s="17" t="str">
        <f ca="1">IF(B98="","",IF(OR(TRIM(R98)="En curso",TRIM(R98)="En proceso de ingreso"),TODAY()-B98,"Cerrada"))</f>
        <v>Cerrada</v>
      </c>
      <c r="D98" s="8" t="s">
        <v>42</v>
      </c>
      <c r="E98" s="8" t="s">
        <v>43</v>
      </c>
      <c r="F98" s="8"/>
      <c r="G98" s="8" t="s">
        <v>44</v>
      </c>
      <c r="H98" s="8"/>
      <c r="I98" s="8"/>
      <c r="J98" s="8" t="s">
        <v>45</v>
      </c>
      <c r="K98" s="8" t="s">
        <v>46</v>
      </c>
      <c r="L98" s="8" t="s">
        <v>47</v>
      </c>
      <c r="M98" s="8" t="s">
        <v>48</v>
      </c>
      <c r="N98" s="8" t="s">
        <v>49</v>
      </c>
      <c r="O98" s="8" t="s">
        <v>50</v>
      </c>
      <c r="P98" s="8" t="s">
        <v>51</v>
      </c>
      <c r="Q98" s="8"/>
      <c r="R98" s="8" t="s">
        <v>52</v>
      </c>
      <c r="S98" s="8" t="s">
        <v>53</v>
      </c>
      <c r="T98" s="8"/>
      <c r="U98" s="8"/>
      <c r="V98" s="8"/>
      <c r="W98" s="8" t="s">
        <v>54</v>
      </c>
      <c r="X98" s="8"/>
      <c r="Y98" s="8" t="s">
        <v>668</v>
      </c>
      <c r="Z98" s="8"/>
      <c r="AA98" s="8" t="s">
        <v>56</v>
      </c>
      <c r="AB98" s="8"/>
      <c r="AC98" s="8"/>
      <c r="AD98" s="8" t="s">
        <v>57</v>
      </c>
      <c r="AE98" s="8" t="s">
        <v>378</v>
      </c>
      <c r="AF98" s="5">
        <v>46044</v>
      </c>
      <c r="AG98" s="5">
        <v>46056</v>
      </c>
      <c r="AH98" s="5"/>
      <c r="AI98" s="8"/>
      <c r="AJ98" s="8" t="s">
        <v>669</v>
      </c>
      <c r="AK98" s="8" t="s">
        <v>60</v>
      </c>
      <c r="AL98" s="8" t="s">
        <v>61</v>
      </c>
      <c r="AM98" s="8" t="s">
        <v>44</v>
      </c>
      <c r="AN98" s="8" t="s">
        <v>44</v>
      </c>
      <c r="AO98" s="8"/>
    </row>
    <row r="99" spans="1:41" ht="28.5">
      <c r="A99" s="7" t="s">
        <v>670</v>
      </c>
      <c r="B99" s="5">
        <v>46029</v>
      </c>
      <c r="C99" s="17" t="str">
        <f ca="1">IF(B99="","",IF(OR(TRIM(R99)="En curso",TRIM(R99)="En proceso de ingreso"),TODAY()-B99,"Cerrada"))</f>
        <v>Cerrada</v>
      </c>
      <c r="D99" s="8" t="s">
        <v>42</v>
      </c>
      <c r="E99" s="8" t="s">
        <v>43</v>
      </c>
      <c r="F99" s="8"/>
      <c r="G99" s="8" t="s">
        <v>44</v>
      </c>
      <c r="H99" s="8"/>
      <c r="I99" s="8"/>
      <c r="J99" s="8" t="s">
        <v>45</v>
      </c>
      <c r="K99" s="8" t="s">
        <v>46</v>
      </c>
      <c r="L99" s="8" t="s">
        <v>47</v>
      </c>
      <c r="M99" s="8" t="s">
        <v>48</v>
      </c>
      <c r="N99" s="8" t="s">
        <v>49</v>
      </c>
      <c r="O99" s="8" t="s">
        <v>50</v>
      </c>
      <c r="P99" s="8" t="s">
        <v>51</v>
      </c>
      <c r="Q99" s="8"/>
      <c r="R99" s="8" t="s">
        <v>52</v>
      </c>
      <c r="S99" s="8" t="s">
        <v>53</v>
      </c>
      <c r="T99" s="8"/>
      <c r="U99" s="8"/>
      <c r="V99" s="8"/>
      <c r="W99" s="8" t="s">
        <v>54</v>
      </c>
      <c r="X99" s="8"/>
      <c r="Y99" s="8" t="s">
        <v>671</v>
      </c>
      <c r="Z99" s="8"/>
      <c r="AA99" s="8" t="s">
        <v>56</v>
      </c>
      <c r="AB99" s="8"/>
      <c r="AC99" s="8"/>
      <c r="AD99" s="8" t="s">
        <v>57</v>
      </c>
      <c r="AE99" s="8" t="s">
        <v>58</v>
      </c>
      <c r="AF99" s="5">
        <v>46057</v>
      </c>
      <c r="AG99" s="5">
        <v>46063</v>
      </c>
      <c r="AH99" s="5"/>
      <c r="AI99" s="8"/>
      <c r="AJ99" s="8" t="s">
        <v>672</v>
      </c>
      <c r="AK99" s="8" t="s">
        <v>60</v>
      </c>
      <c r="AL99" s="8" t="s">
        <v>61</v>
      </c>
      <c r="AM99" s="8" t="s">
        <v>44</v>
      </c>
      <c r="AN99" s="8" t="s">
        <v>44</v>
      </c>
      <c r="AO99" s="8" t="s">
        <v>560</v>
      </c>
    </row>
    <row r="100" spans="1:41" ht="28.5">
      <c r="A100" s="7" t="s">
        <v>673</v>
      </c>
      <c r="B100" s="5">
        <v>46029</v>
      </c>
      <c r="C100" s="17" t="str">
        <f ca="1">IF(B100="","",IF(OR(TRIM(R100)="En curso",TRIM(R100)="En proceso de ingreso"),TODAY()-B100,"Cerrada"))</f>
        <v>Cerrada</v>
      </c>
      <c r="D100" s="8" t="s">
        <v>144</v>
      </c>
      <c r="E100" s="8" t="s">
        <v>43</v>
      </c>
      <c r="F100" s="8"/>
      <c r="G100" s="8"/>
      <c r="H100" s="8"/>
      <c r="I100" s="8"/>
      <c r="J100" s="8" t="s">
        <v>145</v>
      </c>
      <c r="K100" s="8" t="s">
        <v>146</v>
      </c>
      <c r="L100" s="8" t="s">
        <v>222</v>
      </c>
      <c r="M100" s="8" t="s">
        <v>199</v>
      </c>
      <c r="N100" s="8" t="s">
        <v>223</v>
      </c>
      <c r="O100" s="8" t="s">
        <v>433</v>
      </c>
      <c r="P100" s="8" t="s">
        <v>225</v>
      </c>
      <c r="Q100" s="8"/>
      <c r="R100" s="8" t="s">
        <v>52</v>
      </c>
      <c r="S100" s="8" t="s">
        <v>53</v>
      </c>
      <c r="T100" s="8"/>
      <c r="U100" s="8"/>
      <c r="V100" s="8"/>
      <c r="W100" s="8" t="s">
        <v>54</v>
      </c>
      <c r="X100" s="8"/>
      <c r="Y100" s="8" t="s">
        <v>674</v>
      </c>
      <c r="Z100" s="8"/>
      <c r="AA100" s="8" t="s">
        <v>173</v>
      </c>
      <c r="AB100" s="8"/>
      <c r="AC100" s="8"/>
      <c r="AD100" s="8" t="s">
        <v>675</v>
      </c>
      <c r="AE100" s="8" t="s">
        <v>154</v>
      </c>
      <c r="AF100" s="5">
        <v>46049</v>
      </c>
      <c r="AG100" s="5">
        <v>46055</v>
      </c>
      <c r="AH100" s="5"/>
      <c r="AI100" s="8"/>
      <c r="AJ100" s="8" t="s">
        <v>676</v>
      </c>
      <c r="AK100" s="8" t="s">
        <v>677</v>
      </c>
      <c r="AL100" s="8" t="s">
        <v>207</v>
      </c>
      <c r="AM100" s="8" t="s">
        <v>77</v>
      </c>
      <c r="AN100" s="8"/>
      <c r="AO100" s="8"/>
    </row>
    <row r="101" spans="1:41" ht="28.5">
      <c r="A101" s="7" t="s">
        <v>678</v>
      </c>
      <c r="B101" s="5">
        <v>46029</v>
      </c>
      <c r="C101" s="17" t="str">
        <f ca="1">IF(B101="","",IF(OR(TRIM(R101)="En curso",TRIM(R101)="En proceso de ingreso"),TODAY()-B101,"Cerrada"))</f>
        <v>Cerrada</v>
      </c>
      <c r="D101" s="8" t="s">
        <v>42</v>
      </c>
      <c r="E101" s="8" t="s">
        <v>43</v>
      </c>
      <c r="F101" s="8"/>
      <c r="G101" s="8"/>
      <c r="H101" s="8"/>
      <c r="I101" s="8"/>
      <c r="J101" s="8" t="s">
        <v>45</v>
      </c>
      <c r="K101" s="8" t="s">
        <v>91</v>
      </c>
      <c r="L101" s="8" t="s">
        <v>47</v>
      </c>
      <c r="M101" s="8" t="s">
        <v>48</v>
      </c>
      <c r="N101" s="8" t="s">
        <v>49</v>
      </c>
      <c r="O101" s="8" t="s">
        <v>50</v>
      </c>
      <c r="P101" s="8" t="s">
        <v>51</v>
      </c>
      <c r="Q101" s="8"/>
      <c r="R101" s="8" t="s">
        <v>52</v>
      </c>
      <c r="S101" s="8" t="s">
        <v>53</v>
      </c>
      <c r="T101" s="8"/>
      <c r="U101" s="8"/>
      <c r="V101" s="8"/>
      <c r="W101" s="8" t="s">
        <v>54</v>
      </c>
      <c r="X101" s="8"/>
      <c r="Y101" s="8" t="s">
        <v>679</v>
      </c>
      <c r="Z101" s="8"/>
      <c r="AA101" s="8" t="s">
        <v>56</v>
      </c>
      <c r="AB101" s="8"/>
      <c r="AC101" s="8"/>
      <c r="AD101" s="8" t="s">
        <v>93</v>
      </c>
      <c r="AE101" s="8" t="s">
        <v>680</v>
      </c>
      <c r="AF101" s="5">
        <v>46058</v>
      </c>
      <c r="AG101" s="5">
        <v>46071</v>
      </c>
      <c r="AH101" s="5"/>
      <c r="AI101" s="8"/>
      <c r="AJ101" s="8" t="s">
        <v>681</v>
      </c>
      <c r="AK101" s="8" t="s">
        <v>682</v>
      </c>
      <c r="AL101" s="8" t="s">
        <v>97</v>
      </c>
      <c r="AM101" s="8" t="s">
        <v>77</v>
      </c>
      <c r="AN101" s="8" t="s">
        <v>44</v>
      </c>
      <c r="AO101" s="8"/>
    </row>
    <row r="102" spans="1:41" ht="28.5">
      <c r="A102" s="7" t="s">
        <v>683</v>
      </c>
      <c r="B102" s="5">
        <v>46029</v>
      </c>
      <c r="C102" s="17" t="str">
        <f ca="1">IF(B102="","",IF(OR(TRIM(R102)="En curso",TRIM(R102)="En proceso de ingreso"),TODAY()-B102,"Cerrada"))</f>
        <v>Cerrada</v>
      </c>
      <c r="D102" s="8" t="s">
        <v>42</v>
      </c>
      <c r="E102" s="8" t="s">
        <v>43</v>
      </c>
      <c r="F102" s="8"/>
      <c r="G102" s="8"/>
      <c r="H102" s="8"/>
      <c r="I102" s="8"/>
      <c r="J102" s="8" t="s">
        <v>45</v>
      </c>
      <c r="K102" s="8" t="s">
        <v>91</v>
      </c>
      <c r="L102" s="8" t="s">
        <v>47</v>
      </c>
      <c r="M102" s="8" t="s">
        <v>48</v>
      </c>
      <c r="N102" s="8" t="s">
        <v>49</v>
      </c>
      <c r="O102" s="8" t="s">
        <v>50</v>
      </c>
      <c r="P102" s="8" t="s">
        <v>51</v>
      </c>
      <c r="Q102" s="8"/>
      <c r="R102" s="8" t="s">
        <v>52</v>
      </c>
      <c r="S102" s="8" t="s">
        <v>53</v>
      </c>
      <c r="T102" s="8"/>
      <c r="U102" s="8"/>
      <c r="V102" s="8"/>
      <c r="W102" s="8" t="s">
        <v>54</v>
      </c>
      <c r="X102" s="8"/>
      <c r="Y102" s="8" t="s">
        <v>684</v>
      </c>
      <c r="Z102" s="8"/>
      <c r="AA102" s="8" t="s">
        <v>56</v>
      </c>
      <c r="AB102" s="8"/>
      <c r="AC102" s="8"/>
      <c r="AD102" s="8" t="s">
        <v>93</v>
      </c>
      <c r="AE102" s="8" t="s">
        <v>680</v>
      </c>
      <c r="AF102" s="5">
        <v>46058</v>
      </c>
      <c r="AG102" s="5">
        <v>46071</v>
      </c>
      <c r="AH102" s="5"/>
      <c r="AI102" s="8"/>
      <c r="AJ102" s="8" t="s">
        <v>685</v>
      </c>
      <c r="AK102" s="8" t="s">
        <v>682</v>
      </c>
      <c r="AL102" s="8" t="s">
        <v>97</v>
      </c>
      <c r="AM102" s="8" t="s">
        <v>77</v>
      </c>
      <c r="AN102" s="8" t="s">
        <v>44</v>
      </c>
      <c r="AO102" s="8"/>
    </row>
    <row r="103" spans="1:41">
      <c r="A103" s="7" t="s">
        <v>686</v>
      </c>
      <c r="B103" s="5">
        <v>46029</v>
      </c>
      <c r="C103" s="17" t="str">
        <f ca="1">IF(B103="","",IF(OR(TRIM(R103)="En curso",TRIM(R103)="En proceso de ingreso"),TODAY()-B103,"Cerrada"))</f>
        <v>Cerrada</v>
      </c>
      <c r="D103" s="8" t="s">
        <v>144</v>
      </c>
      <c r="E103" s="8" t="s">
        <v>43</v>
      </c>
      <c r="F103" s="8"/>
      <c r="G103" s="8"/>
      <c r="H103" s="8"/>
      <c r="I103" s="8"/>
      <c r="J103" s="8" t="s">
        <v>145</v>
      </c>
      <c r="K103" s="8" t="s">
        <v>146</v>
      </c>
      <c r="L103" s="8" t="s">
        <v>347</v>
      </c>
      <c r="M103" s="8" t="s">
        <v>348</v>
      </c>
      <c r="N103" s="8" t="s">
        <v>213</v>
      </c>
      <c r="O103" s="8" t="s">
        <v>349</v>
      </c>
      <c r="P103" s="8" t="s">
        <v>350</v>
      </c>
      <c r="Q103" s="8"/>
      <c r="R103" s="8" t="s">
        <v>52</v>
      </c>
      <c r="S103" s="8" t="s">
        <v>53</v>
      </c>
      <c r="T103" s="8"/>
      <c r="U103" s="8"/>
      <c r="V103" s="8"/>
      <c r="W103" s="8" t="s">
        <v>54</v>
      </c>
      <c r="X103" s="8"/>
      <c r="Y103" s="8" t="s">
        <v>687</v>
      </c>
      <c r="Z103" s="8"/>
      <c r="AA103" s="8" t="s">
        <v>173</v>
      </c>
      <c r="AB103" s="8"/>
      <c r="AC103" s="8"/>
      <c r="AD103" s="8" t="s">
        <v>586</v>
      </c>
      <c r="AE103" s="8" t="s">
        <v>154</v>
      </c>
      <c r="AF103" s="5">
        <v>46056</v>
      </c>
      <c r="AG103" s="5">
        <v>46062</v>
      </c>
      <c r="AH103" s="5"/>
      <c r="AI103" s="8"/>
      <c r="AJ103" s="8" t="s">
        <v>688</v>
      </c>
      <c r="AK103" s="8"/>
      <c r="AL103" s="8" t="s">
        <v>207</v>
      </c>
      <c r="AM103" s="8" t="s">
        <v>77</v>
      </c>
      <c r="AN103" s="8"/>
      <c r="AO103" s="8"/>
    </row>
    <row r="104" spans="1:41" ht="28.5">
      <c r="A104" s="7" t="s">
        <v>689</v>
      </c>
      <c r="B104" s="5">
        <v>46029</v>
      </c>
      <c r="C104" s="17" t="str">
        <f ca="1">IF(B104="","",IF(OR(TRIM(R104)="En curso",TRIM(R104)="En proceso de ingreso"),TODAY()-B104,"Cerrada"))</f>
        <v>Cerrada</v>
      </c>
      <c r="D104" s="8" t="s">
        <v>144</v>
      </c>
      <c r="E104" s="8" t="s">
        <v>43</v>
      </c>
      <c r="F104" s="8"/>
      <c r="G104" s="8"/>
      <c r="H104" s="8"/>
      <c r="I104" s="8"/>
      <c r="J104" s="8" t="s">
        <v>145</v>
      </c>
      <c r="K104" s="8" t="s">
        <v>146</v>
      </c>
      <c r="L104" s="8" t="s">
        <v>222</v>
      </c>
      <c r="M104" s="8" t="s">
        <v>199</v>
      </c>
      <c r="N104" s="8" t="s">
        <v>223</v>
      </c>
      <c r="O104" s="8" t="s">
        <v>433</v>
      </c>
      <c r="P104" s="8" t="s">
        <v>225</v>
      </c>
      <c r="Q104" s="8"/>
      <c r="R104" s="8" t="s">
        <v>52</v>
      </c>
      <c r="S104" s="8" t="s">
        <v>53</v>
      </c>
      <c r="T104" s="8"/>
      <c r="U104" s="8"/>
      <c r="V104" s="8"/>
      <c r="W104" s="8" t="s">
        <v>54</v>
      </c>
      <c r="X104" s="8"/>
      <c r="Y104" s="8" t="s">
        <v>690</v>
      </c>
      <c r="Z104" s="8"/>
      <c r="AA104" s="8" t="s">
        <v>173</v>
      </c>
      <c r="AB104" s="8"/>
      <c r="AC104" s="8"/>
      <c r="AD104" s="8" t="s">
        <v>691</v>
      </c>
      <c r="AE104" s="8" t="s">
        <v>154</v>
      </c>
      <c r="AF104" s="5">
        <v>46037</v>
      </c>
      <c r="AG104" s="5">
        <v>46055</v>
      </c>
      <c r="AH104" s="5"/>
      <c r="AI104" s="8"/>
      <c r="AJ104" s="8" t="s">
        <v>692</v>
      </c>
      <c r="AK104" s="8" t="s">
        <v>523</v>
      </c>
      <c r="AL104" s="8" t="s">
        <v>207</v>
      </c>
      <c r="AM104" s="8" t="s">
        <v>77</v>
      </c>
      <c r="AN104" s="8"/>
      <c r="AO104" s="8"/>
    </row>
    <row r="105" spans="1:41" ht="28.5">
      <c r="A105" s="7" t="s">
        <v>693</v>
      </c>
      <c r="B105" s="5">
        <v>46029</v>
      </c>
      <c r="C105" s="17" t="str">
        <f ca="1">IF(B105="","",IF(OR(TRIM(R105)="En curso",TRIM(R105)="En proceso de ingreso"),TODAY()-B105,"Cerrada"))</f>
        <v>Cerrada</v>
      </c>
      <c r="D105" s="8" t="s">
        <v>144</v>
      </c>
      <c r="E105" s="8" t="s">
        <v>43</v>
      </c>
      <c r="F105" s="8"/>
      <c r="G105" s="8"/>
      <c r="H105" s="8"/>
      <c r="I105" s="8"/>
      <c r="J105" s="8" t="s">
        <v>145</v>
      </c>
      <c r="K105" s="8" t="s">
        <v>146</v>
      </c>
      <c r="L105" s="8" t="s">
        <v>222</v>
      </c>
      <c r="M105" s="8" t="s">
        <v>199</v>
      </c>
      <c r="N105" s="8" t="s">
        <v>223</v>
      </c>
      <c r="O105" s="8" t="s">
        <v>433</v>
      </c>
      <c r="P105" s="8" t="s">
        <v>225</v>
      </c>
      <c r="Q105" s="8"/>
      <c r="R105" s="8" t="s">
        <v>52</v>
      </c>
      <c r="S105" s="8" t="s">
        <v>53</v>
      </c>
      <c r="T105" s="8"/>
      <c r="U105" s="8" t="s">
        <v>69</v>
      </c>
      <c r="V105" s="8" t="s">
        <v>70</v>
      </c>
      <c r="W105" s="8" t="s">
        <v>54</v>
      </c>
      <c r="X105" s="8"/>
      <c r="Y105" s="8" t="s">
        <v>694</v>
      </c>
      <c r="Z105" s="8"/>
      <c r="AA105" s="8" t="s">
        <v>56</v>
      </c>
      <c r="AB105" s="8"/>
      <c r="AC105" s="8"/>
      <c r="AD105" s="8" t="s">
        <v>521</v>
      </c>
      <c r="AE105" s="8" t="s">
        <v>154</v>
      </c>
      <c r="AF105" s="5">
        <v>46092</v>
      </c>
      <c r="AG105" s="5">
        <v>46101</v>
      </c>
      <c r="AH105" s="5"/>
      <c r="AI105" s="8"/>
      <c r="AJ105" s="8" t="s">
        <v>695</v>
      </c>
      <c r="AK105" s="8" t="s">
        <v>523</v>
      </c>
      <c r="AL105" s="8" t="s">
        <v>207</v>
      </c>
      <c r="AM105" s="8" t="s">
        <v>77</v>
      </c>
      <c r="AN105" s="8" t="s">
        <v>44</v>
      </c>
      <c r="AO105" s="8"/>
    </row>
    <row r="106" spans="1:41" ht="28.5">
      <c r="A106" s="7" t="s">
        <v>696</v>
      </c>
      <c r="B106" s="5">
        <v>46030</v>
      </c>
      <c r="C106" s="17" t="str">
        <f ca="1">IF(B106="","",IF(OR(TRIM(R106)="En curso",TRIM(R106)="En proceso de ingreso"),TODAY()-B106,"Cerrada"))</f>
        <v>Cerrada</v>
      </c>
      <c r="D106" s="8" t="s">
        <v>235</v>
      </c>
      <c r="E106" s="8" t="s">
        <v>43</v>
      </c>
      <c r="F106" s="8"/>
      <c r="G106" s="8"/>
      <c r="H106" s="8"/>
      <c r="I106" s="8"/>
      <c r="J106" s="8" t="s">
        <v>180</v>
      </c>
      <c r="K106" s="8" t="s">
        <v>236</v>
      </c>
      <c r="L106" s="8" t="s">
        <v>237</v>
      </c>
      <c r="M106" s="8" t="s">
        <v>161</v>
      </c>
      <c r="N106" s="8" t="s">
        <v>238</v>
      </c>
      <c r="O106" s="8" t="s">
        <v>697</v>
      </c>
      <c r="P106" s="8" t="s">
        <v>240</v>
      </c>
      <c r="Q106" s="8"/>
      <c r="R106" s="8" t="s">
        <v>52</v>
      </c>
      <c r="S106" s="8" t="s">
        <v>53</v>
      </c>
      <c r="T106" s="8"/>
      <c r="U106" s="8"/>
      <c r="V106" s="8"/>
      <c r="W106" s="8" t="s">
        <v>54</v>
      </c>
      <c r="X106" s="8"/>
      <c r="Y106" s="8"/>
      <c r="Z106" s="8"/>
      <c r="AA106" s="8" t="s">
        <v>56</v>
      </c>
      <c r="AB106" s="8"/>
      <c r="AC106" s="8"/>
      <c r="AD106" s="8" t="s">
        <v>698</v>
      </c>
      <c r="AE106" s="8" t="s">
        <v>113</v>
      </c>
      <c r="AF106" s="5">
        <v>46045</v>
      </c>
      <c r="AG106" s="5">
        <v>46048</v>
      </c>
      <c r="AH106" s="5"/>
      <c r="AI106" s="8"/>
      <c r="AJ106" s="8" t="s">
        <v>699</v>
      </c>
      <c r="AK106" s="8" t="s">
        <v>700</v>
      </c>
      <c r="AL106" s="8"/>
      <c r="AM106" s="8" t="s">
        <v>77</v>
      </c>
      <c r="AN106" s="8" t="s">
        <v>44</v>
      </c>
      <c r="AO106" s="8" t="s">
        <v>701</v>
      </c>
    </row>
    <row r="107" spans="1:41" ht="28.5">
      <c r="A107" s="7" t="s">
        <v>702</v>
      </c>
      <c r="B107" s="5">
        <v>46030</v>
      </c>
      <c r="C107" s="17" t="str">
        <f ca="1">IF(B107="","",IF(OR(TRIM(R107)="En curso",TRIM(R107)="En proceso de ingreso"),TODAY()-B107,"Cerrada"))</f>
        <v>Cerrada</v>
      </c>
      <c r="D107" s="8" t="s">
        <v>144</v>
      </c>
      <c r="E107" s="8" t="s">
        <v>43</v>
      </c>
      <c r="F107" s="8"/>
      <c r="G107" s="8"/>
      <c r="H107" s="8"/>
      <c r="I107" s="8"/>
      <c r="J107" s="8" t="s">
        <v>145</v>
      </c>
      <c r="K107" s="8" t="s">
        <v>146</v>
      </c>
      <c r="L107" s="8" t="s">
        <v>222</v>
      </c>
      <c r="M107" s="8" t="s">
        <v>199</v>
      </c>
      <c r="N107" s="8" t="s">
        <v>223</v>
      </c>
      <c r="O107" s="8" t="s">
        <v>433</v>
      </c>
      <c r="P107" s="8" t="s">
        <v>225</v>
      </c>
      <c r="Q107" s="8"/>
      <c r="R107" s="8" t="s">
        <v>52</v>
      </c>
      <c r="S107" s="8" t="s">
        <v>53</v>
      </c>
      <c r="T107" s="8"/>
      <c r="U107" s="8" t="s">
        <v>69</v>
      </c>
      <c r="V107" s="8" t="s">
        <v>70</v>
      </c>
      <c r="W107" s="8" t="s">
        <v>54</v>
      </c>
      <c r="X107" s="8"/>
      <c r="Y107" s="8" t="s">
        <v>703</v>
      </c>
      <c r="Z107" s="8"/>
      <c r="AA107" s="8" t="s">
        <v>56</v>
      </c>
      <c r="AB107" s="8"/>
      <c r="AC107" s="8"/>
      <c r="AD107" s="8" t="s">
        <v>521</v>
      </c>
      <c r="AE107" s="8" t="s">
        <v>154</v>
      </c>
      <c r="AF107" s="5">
        <v>46092</v>
      </c>
      <c r="AG107" s="5">
        <v>46101</v>
      </c>
      <c r="AH107" s="5"/>
      <c r="AI107" s="8"/>
      <c r="AJ107" s="8" t="s">
        <v>704</v>
      </c>
      <c r="AK107" s="8" t="s">
        <v>523</v>
      </c>
      <c r="AL107" s="8" t="s">
        <v>207</v>
      </c>
      <c r="AM107" s="8" t="s">
        <v>77</v>
      </c>
      <c r="AN107" s="8" t="s">
        <v>44</v>
      </c>
      <c r="AO107" s="8" t="s">
        <v>705</v>
      </c>
    </row>
    <row r="108" spans="1:41" ht="28.5">
      <c r="A108" s="7" t="s">
        <v>706</v>
      </c>
      <c r="B108" s="5">
        <v>46031</v>
      </c>
      <c r="C108" s="17" t="str">
        <f ca="1">IF(B108="","",IF(OR(TRIM(R108)="En curso",TRIM(R108)="En proceso de ingreso"),TODAY()-B108,"Cerrada"))</f>
        <v>Cerrada</v>
      </c>
      <c r="D108" s="8" t="s">
        <v>144</v>
      </c>
      <c r="E108" s="8" t="s">
        <v>43</v>
      </c>
      <c r="F108" s="8"/>
      <c r="G108" s="8"/>
      <c r="H108" s="8"/>
      <c r="I108" s="8"/>
      <c r="J108" s="8" t="s">
        <v>145</v>
      </c>
      <c r="K108" s="8" t="s">
        <v>146</v>
      </c>
      <c r="L108" s="8" t="s">
        <v>198</v>
      </c>
      <c r="M108" s="8" t="s">
        <v>199</v>
      </c>
      <c r="N108" s="8" t="s">
        <v>200</v>
      </c>
      <c r="O108" s="8" t="s">
        <v>201</v>
      </c>
      <c r="P108" s="8" t="s">
        <v>202</v>
      </c>
      <c r="Q108" s="8"/>
      <c r="R108" s="8" t="s">
        <v>52</v>
      </c>
      <c r="S108" s="8" t="s">
        <v>53</v>
      </c>
      <c r="T108" s="8"/>
      <c r="U108" s="8"/>
      <c r="V108" s="8"/>
      <c r="W108" s="8" t="s">
        <v>54</v>
      </c>
      <c r="X108" s="8"/>
      <c r="Y108" s="8" t="s">
        <v>707</v>
      </c>
      <c r="Z108" s="8"/>
      <c r="AA108" s="8" t="s">
        <v>152</v>
      </c>
      <c r="AB108" s="8"/>
      <c r="AC108" s="8"/>
      <c r="AD108" s="8" t="s">
        <v>204</v>
      </c>
      <c r="AE108" s="8" t="s">
        <v>154</v>
      </c>
      <c r="AF108" s="5">
        <v>46037</v>
      </c>
      <c r="AG108" s="5">
        <v>46045</v>
      </c>
      <c r="AH108" s="5"/>
      <c r="AI108" s="8"/>
      <c r="AJ108" s="8" t="s">
        <v>708</v>
      </c>
      <c r="AK108" s="8" t="s">
        <v>482</v>
      </c>
      <c r="AL108" s="8" t="s">
        <v>207</v>
      </c>
      <c r="AM108" s="8" t="s">
        <v>77</v>
      </c>
      <c r="AN108" s="8"/>
      <c r="AO108" s="8"/>
    </row>
    <row r="109" spans="1:41" ht="28.5">
      <c r="A109" s="7" t="s">
        <v>709</v>
      </c>
      <c r="B109" s="5">
        <v>46031</v>
      </c>
      <c r="C109" s="17" t="str">
        <f ca="1">IF(B109="","",IF(OR(TRIM(R109)="En curso",TRIM(R109)="En proceso de ingreso"),TODAY()-B109,"Cerrada"))</f>
        <v>Cerrada</v>
      </c>
      <c r="D109" s="8" t="s">
        <v>144</v>
      </c>
      <c r="E109" s="8" t="s">
        <v>43</v>
      </c>
      <c r="F109" s="8"/>
      <c r="G109" s="8"/>
      <c r="H109" s="8"/>
      <c r="I109" s="8"/>
      <c r="J109" s="8" t="s">
        <v>145</v>
      </c>
      <c r="K109" s="8" t="s">
        <v>146</v>
      </c>
      <c r="L109" s="8" t="s">
        <v>222</v>
      </c>
      <c r="M109" s="8" t="s">
        <v>212</v>
      </c>
      <c r="N109" s="8" t="s">
        <v>223</v>
      </c>
      <c r="O109" s="8" t="s">
        <v>224</v>
      </c>
      <c r="P109" s="8" t="s">
        <v>225</v>
      </c>
      <c r="Q109" s="8"/>
      <c r="R109" s="8" t="s">
        <v>52</v>
      </c>
      <c r="S109" s="8" t="s">
        <v>53</v>
      </c>
      <c r="T109" s="8"/>
      <c r="U109" s="8"/>
      <c r="V109" s="8"/>
      <c r="W109" s="8" t="s">
        <v>54</v>
      </c>
      <c r="X109" s="8"/>
      <c r="Y109" s="8" t="s">
        <v>590</v>
      </c>
      <c r="Z109" s="8"/>
      <c r="AA109" s="8" t="s">
        <v>152</v>
      </c>
      <c r="AB109" s="8"/>
      <c r="AC109" s="8"/>
      <c r="AD109" s="8" t="s">
        <v>537</v>
      </c>
      <c r="AE109" s="8" t="s">
        <v>154</v>
      </c>
      <c r="AF109" s="5">
        <v>46072</v>
      </c>
      <c r="AG109" s="5">
        <v>46076</v>
      </c>
      <c r="AH109" s="5"/>
      <c r="AI109" s="8"/>
      <c r="AJ109" s="8" t="s">
        <v>710</v>
      </c>
      <c r="AK109" s="8" t="s">
        <v>539</v>
      </c>
      <c r="AL109" s="8" t="s">
        <v>207</v>
      </c>
      <c r="AM109" s="8" t="s">
        <v>77</v>
      </c>
      <c r="AN109" s="8"/>
      <c r="AO109" s="8"/>
    </row>
    <row r="110" spans="1:41" ht="28.5">
      <c r="A110" s="7" t="s">
        <v>711</v>
      </c>
      <c r="B110" s="5">
        <v>46033</v>
      </c>
      <c r="C110" s="17" t="str">
        <f ca="1">IF(B110="","",IF(OR(TRIM(R110)="En curso",TRIM(R110)="En proceso de ingreso"),TODAY()-B110,"Cerrada"))</f>
        <v>Cerrada</v>
      </c>
      <c r="D110" s="8" t="s">
        <v>144</v>
      </c>
      <c r="E110" s="8" t="s">
        <v>43</v>
      </c>
      <c r="F110" s="8"/>
      <c r="G110" s="8"/>
      <c r="H110" s="8"/>
      <c r="I110" s="8"/>
      <c r="J110" s="8" t="s">
        <v>145</v>
      </c>
      <c r="K110" s="8" t="s">
        <v>146</v>
      </c>
      <c r="L110" s="8" t="s">
        <v>198</v>
      </c>
      <c r="M110" s="8" t="s">
        <v>199</v>
      </c>
      <c r="N110" s="8" t="s">
        <v>200</v>
      </c>
      <c r="O110" s="8" t="s">
        <v>201</v>
      </c>
      <c r="P110" s="8" t="s">
        <v>202</v>
      </c>
      <c r="Q110" s="8"/>
      <c r="R110" s="8" t="s">
        <v>52</v>
      </c>
      <c r="S110" s="8" t="s">
        <v>53</v>
      </c>
      <c r="T110" s="8"/>
      <c r="U110" s="8"/>
      <c r="V110" s="8"/>
      <c r="W110" s="8" t="s">
        <v>54</v>
      </c>
      <c r="X110" s="8"/>
      <c r="Y110" s="8" t="s">
        <v>305</v>
      </c>
      <c r="Z110" s="8"/>
      <c r="AA110" s="8" t="s">
        <v>173</v>
      </c>
      <c r="AB110" s="8"/>
      <c r="AC110" s="8"/>
      <c r="AD110" s="8" t="s">
        <v>712</v>
      </c>
      <c r="AE110" s="8" t="s">
        <v>154</v>
      </c>
      <c r="AF110" s="5">
        <v>46037</v>
      </c>
      <c r="AG110" s="5">
        <v>46062</v>
      </c>
      <c r="AH110" s="5"/>
      <c r="AI110" s="8"/>
      <c r="AJ110" s="8" t="s">
        <v>713</v>
      </c>
      <c r="AK110" s="8" t="s">
        <v>482</v>
      </c>
      <c r="AL110" s="8" t="s">
        <v>207</v>
      </c>
      <c r="AM110" s="8" t="s">
        <v>77</v>
      </c>
      <c r="AN110" s="8"/>
      <c r="AO110" s="8"/>
    </row>
    <row r="111" spans="1:41" ht="28.5">
      <c r="A111" s="7" t="s">
        <v>714</v>
      </c>
      <c r="B111" s="5">
        <v>46034</v>
      </c>
      <c r="C111" s="17" t="str">
        <f ca="1">IF(B111="","",IF(OR(TRIM(R111)="En curso",TRIM(R111)="En proceso de ingreso"),TODAY()-B111,"Cerrada"))</f>
        <v>Cerrada</v>
      </c>
      <c r="D111" s="8" t="s">
        <v>144</v>
      </c>
      <c r="E111" s="8" t="s">
        <v>43</v>
      </c>
      <c r="F111" s="8"/>
      <c r="G111" s="8"/>
      <c r="H111" s="8"/>
      <c r="I111" s="8"/>
      <c r="J111" s="8" t="s">
        <v>145</v>
      </c>
      <c r="K111" s="8" t="s">
        <v>146</v>
      </c>
      <c r="L111" s="8" t="s">
        <v>347</v>
      </c>
      <c r="M111" s="8" t="s">
        <v>348</v>
      </c>
      <c r="N111" s="8" t="s">
        <v>223</v>
      </c>
      <c r="O111" s="8" t="s">
        <v>715</v>
      </c>
      <c r="P111" s="8" t="s">
        <v>225</v>
      </c>
      <c r="Q111" s="8"/>
      <c r="R111" s="8" t="s">
        <v>52</v>
      </c>
      <c r="S111" s="8" t="s">
        <v>53</v>
      </c>
      <c r="T111" s="8"/>
      <c r="U111" s="8"/>
      <c r="V111" s="8"/>
      <c r="W111" s="8" t="s">
        <v>54</v>
      </c>
      <c r="X111" s="8"/>
      <c r="Y111" s="8" t="s">
        <v>716</v>
      </c>
      <c r="Z111" s="8"/>
      <c r="AA111" s="8" t="s">
        <v>152</v>
      </c>
      <c r="AB111" s="8"/>
      <c r="AC111" s="8"/>
      <c r="AD111" s="8" t="s">
        <v>717</v>
      </c>
      <c r="AE111" s="8" t="s">
        <v>154</v>
      </c>
      <c r="AF111" s="5">
        <v>46072</v>
      </c>
      <c r="AG111" s="5">
        <v>46076</v>
      </c>
      <c r="AH111" s="5"/>
      <c r="AI111" s="8"/>
      <c r="AJ111" s="8" t="s">
        <v>718</v>
      </c>
      <c r="AK111" s="8" t="s">
        <v>462</v>
      </c>
      <c r="AL111" s="8" t="s">
        <v>207</v>
      </c>
      <c r="AM111" s="8" t="s">
        <v>77</v>
      </c>
      <c r="AN111" s="8"/>
      <c r="AO111" s="8" t="s">
        <v>719</v>
      </c>
    </row>
    <row r="112" spans="1:41" ht="43.5" hidden="1">
      <c r="A112" s="7" t="s">
        <v>720</v>
      </c>
      <c r="B112" s="5">
        <v>46035</v>
      </c>
      <c r="C112" s="17">
        <f ca="1">IF(B112="","",IF(OR(TRIM(R112)="En curso",TRIM(R112)="En proceso de ingreso"),TODAY()-B112,"Cerrada"))</f>
        <v>105</v>
      </c>
      <c r="D112" s="8" t="s">
        <v>467</v>
      </c>
      <c r="E112" s="8" t="s">
        <v>43</v>
      </c>
      <c r="F112" s="8"/>
      <c r="G112" s="8" t="s">
        <v>187</v>
      </c>
      <c r="H112" s="8"/>
      <c r="I112" s="8"/>
      <c r="J112" s="8" t="s">
        <v>180</v>
      </c>
      <c r="K112" s="8"/>
      <c r="L112" s="8" t="s">
        <v>258</v>
      </c>
      <c r="M112" s="8" t="s">
        <v>259</v>
      </c>
      <c r="N112" s="8" t="s">
        <v>108</v>
      </c>
      <c r="O112" s="8" t="s">
        <v>721</v>
      </c>
      <c r="P112" s="8" t="s">
        <v>722</v>
      </c>
      <c r="Q112" s="8" t="s">
        <v>723</v>
      </c>
      <c r="R112" s="8" t="s">
        <v>724</v>
      </c>
      <c r="S112" s="8" t="s">
        <v>725</v>
      </c>
      <c r="T112" s="5">
        <v>46188</v>
      </c>
      <c r="U112" s="8" t="s">
        <v>138</v>
      </c>
      <c r="V112" s="8" t="s">
        <v>472</v>
      </c>
      <c r="W112" s="8" t="s">
        <v>54</v>
      </c>
      <c r="X112" s="8"/>
      <c r="Y112" s="8" t="s">
        <v>726</v>
      </c>
      <c r="Z112" s="8"/>
      <c r="AA112" s="8" t="s">
        <v>56</v>
      </c>
      <c r="AB112" s="8"/>
      <c r="AC112" s="8"/>
      <c r="AD112" s="8"/>
      <c r="AE112" s="8"/>
      <c r="AF112" s="8"/>
      <c r="AG112" s="8"/>
      <c r="AH112" s="5"/>
      <c r="AI112" s="8"/>
      <c r="AJ112" s="8"/>
      <c r="AK112" s="8"/>
      <c r="AL112" s="8"/>
      <c r="AM112" s="8"/>
      <c r="AN112" s="8"/>
      <c r="AO112" s="8" t="s">
        <v>727</v>
      </c>
    </row>
    <row r="113" spans="1:41">
      <c r="A113" s="7" t="s">
        <v>728</v>
      </c>
      <c r="B113" s="5">
        <v>46035</v>
      </c>
      <c r="C113" s="17" t="str">
        <f ca="1">IF(B113="","",IF(OR(TRIM(R113)="En curso",TRIM(R113)="En proceso de ingreso"),TODAY()-B113,"Cerrada"))</f>
        <v>Cerrada</v>
      </c>
      <c r="D113" s="8" t="s">
        <v>104</v>
      </c>
      <c r="E113" s="8" t="s">
        <v>43</v>
      </c>
      <c r="F113" s="8"/>
      <c r="G113" s="8"/>
      <c r="H113" s="8"/>
      <c r="I113" s="8"/>
      <c r="J113" s="8" t="s">
        <v>729</v>
      </c>
      <c r="K113" s="8" t="s">
        <v>730</v>
      </c>
      <c r="L113" s="8" t="s">
        <v>248</v>
      </c>
      <c r="M113" s="8" t="s">
        <v>135</v>
      </c>
      <c r="N113" s="8" t="s">
        <v>213</v>
      </c>
      <c r="O113" s="8" t="s">
        <v>250</v>
      </c>
      <c r="P113" s="8" t="s">
        <v>731</v>
      </c>
      <c r="Q113" s="8"/>
      <c r="R113" s="8" t="s">
        <v>52</v>
      </c>
      <c r="S113" s="8" t="s">
        <v>53</v>
      </c>
      <c r="T113" s="8"/>
      <c r="U113" s="8"/>
      <c r="V113" s="8"/>
      <c r="W113" s="8" t="s">
        <v>54</v>
      </c>
      <c r="X113" s="8"/>
      <c r="Y113" s="8" t="s">
        <v>732</v>
      </c>
      <c r="Z113" s="8"/>
      <c r="AA113" s="8" t="s">
        <v>152</v>
      </c>
      <c r="AB113" s="8"/>
      <c r="AC113" s="8"/>
      <c r="AD113" s="8" t="s">
        <v>733</v>
      </c>
      <c r="AE113" s="8" t="s">
        <v>734</v>
      </c>
      <c r="AF113" s="8"/>
      <c r="AG113" s="5">
        <v>46076</v>
      </c>
      <c r="AH113" s="5"/>
      <c r="AI113" s="8"/>
      <c r="AJ113" s="8" t="s">
        <v>735</v>
      </c>
      <c r="AK113" s="9">
        <v>2291699.17</v>
      </c>
      <c r="AL113" s="8"/>
      <c r="AM113" s="8" t="s">
        <v>117</v>
      </c>
      <c r="AN113" s="8"/>
      <c r="AO113" s="8"/>
    </row>
    <row r="114" spans="1:41" hidden="1">
      <c r="A114" s="7" t="s">
        <v>736</v>
      </c>
      <c r="B114" s="5">
        <v>46035</v>
      </c>
      <c r="C114" s="17">
        <f ca="1">IF(B114="","",IF(OR(TRIM(R114)="En curso",TRIM(R114)="En proceso de ingreso"),TODAY()-B114,"Cerrada"))</f>
        <v>105</v>
      </c>
      <c r="D114" s="8" t="s">
        <v>467</v>
      </c>
      <c r="E114" s="8" t="s">
        <v>43</v>
      </c>
      <c r="F114" s="8"/>
      <c r="G114" s="8" t="s">
        <v>187</v>
      </c>
      <c r="H114" s="8" t="s">
        <v>44</v>
      </c>
      <c r="I114" s="8"/>
      <c r="J114" s="8" t="s">
        <v>45</v>
      </c>
      <c r="K114" s="8"/>
      <c r="L114" s="8" t="s">
        <v>468</v>
      </c>
      <c r="M114" s="8" t="s">
        <v>161</v>
      </c>
      <c r="N114" s="8" t="s">
        <v>108</v>
      </c>
      <c r="O114" s="8" t="s">
        <v>737</v>
      </c>
      <c r="P114" s="8" t="s">
        <v>738</v>
      </c>
      <c r="Q114" s="8" t="s">
        <v>723</v>
      </c>
      <c r="R114" s="8" t="s">
        <v>724</v>
      </c>
      <c r="S114" s="8" t="s">
        <v>739</v>
      </c>
      <c r="T114" s="5">
        <v>46188</v>
      </c>
      <c r="U114" s="8" t="s">
        <v>138</v>
      </c>
      <c r="V114" s="8" t="s">
        <v>472</v>
      </c>
      <c r="W114" s="8" t="s">
        <v>63</v>
      </c>
      <c r="X114" s="8"/>
      <c r="Y114" s="8"/>
      <c r="Z114" s="8"/>
      <c r="AA114" s="8" t="s">
        <v>56</v>
      </c>
      <c r="AB114" s="8"/>
      <c r="AC114" s="8"/>
      <c r="AD114" s="8"/>
      <c r="AE114" s="8"/>
      <c r="AF114" s="8"/>
      <c r="AG114" s="8"/>
      <c r="AH114" s="5"/>
      <c r="AI114" s="8"/>
      <c r="AJ114" s="8"/>
      <c r="AK114" s="8"/>
      <c r="AL114" s="8"/>
      <c r="AM114" s="8"/>
      <c r="AN114" s="8"/>
      <c r="AO114" s="8" t="s">
        <v>740</v>
      </c>
    </row>
    <row r="115" spans="1:41" ht="28.5" hidden="1">
      <c r="A115" s="7" t="s">
        <v>741</v>
      </c>
      <c r="B115" s="5">
        <v>46035</v>
      </c>
      <c r="C115" s="17">
        <f ca="1">IF(B115="","",IF(OR(TRIM(R115)="En curso",TRIM(R115)="En proceso de ingreso"),TODAY()-B115,"Cerrada"))</f>
        <v>105</v>
      </c>
      <c r="D115" s="8" t="s">
        <v>42</v>
      </c>
      <c r="E115" s="8" t="s">
        <v>43</v>
      </c>
      <c r="F115" s="8"/>
      <c r="G115" s="8"/>
      <c r="H115" s="8"/>
      <c r="I115" s="8"/>
      <c r="J115" s="8" t="s">
        <v>145</v>
      </c>
      <c r="K115" s="8"/>
      <c r="L115" s="8" t="s">
        <v>134</v>
      </c>
      <c r="M115" s="8" t="s">
        <v>135</v>
      </c>
      <c r="N115" s="8" t="s">
        <v>409</v>
      </c>
      <c r="O115" s="8" t="s">
        <v>410</v>
      </c>
      <c r="P115" s="8" t="s">
        <v>742</v>
      </c>
      <c r="Q115" s="8"/>
      <c r="R115" s="8" t="s">
        <v>743</v>
      </c>
      <c r="S115" s="8" t="s">
        <v>744</v>
      </c>
      <c r="T115" s="5">
        <v>46153</v>
      </c>
      <c r="U115" s="8" t="s">
        <v>69</v>
      </c>
      <c r="V115" s="8" t="s">
        <v>472</v>
      </c>
      <c r="W115" s="8" t="s">
        <v>54</v>
      </c>
      <c r="X115" s="8"/>
      <c r="Y115" s="8" t="s">
        <v>745</v>
      </c>
      <c r="Z115" s="8"/>
      <c r="AA115" s="8" t="s">
        <v>56</v>
      </c>
      <c r="AB115" s="8"/>
      <c r="AC115" s="8"/>
      <c r="AD115" s="8" t="s">
        <v>746</v>
      </c>
      <c r="AE115" s="8" t="s">
        <v>747</v>
      </c>
      <c r="AF115" s="5">
        <v>46107</v>
      </c>
      <c r="AG115" s="5">
        <v>46113</v>
      </c>
      <c r="AH115" s="5" t="s">
        <v>73</v>
      </c>
      <c r="AI115" s="8"/>
      <c r="AJ115" s="8"/>
      <c r="AK115" s="8" t="s">
        <v>748</v>
      </c>
      <c r="AL115" s="8"/>
      <c r="AM115" s="8" t="s">
        <v>77</v>
      </c>
      <c r="AN115" s="8" t="s">
        <v>77</v>
      </c>
      <c r="AO115" s="8" t="s">
        <v>749</v>
      </c>
    </row>
    <row r="116" spans="1:41" hidden="1">
      <c r="A116" s="7" t="s">
        <v>750</v>
      </c>
      <c r="B116" s="12">
        <v>46035</v>
      </c>
      <c r="C116" s="17" t="str">
        <f ca="1">IF(B116="","",IF(OR(TRIM(R116)="En curso",TRIM(R116)="En proceso de ingreso"),TODAY()-B116,"Cerrada"))</f>
        <v>Cerrada</v>
      </c>
      <c r="D116" s="8" t="s">
        <v>144</v>
      </c>
      <c r="E116" s="8" t="s">
        <v>43</v>
      </c>
      <c r="F116" s="8"/>
      <c r="G116" s="8"/>
      <c r="H116" s="8"/>
      <c r="I116" s="8"/>
      <c r="J116" s="8" t="s">
        <v>145</v>
      </c>
      <c r="K116" s="8"/>
      <c r="L116" s="14" t="s">
        <v>751</v>
      </c>
      <c r="M116" s="14" t="s">
        <v>752</v>
      </c>
      <c r="N116" s="8" t="s">
        <v>149</v>
      </c>
      <c r="O116" s="8" t="s">
        <v>150</v>
      </c>
      <c r="P116" s="13" t="s">
        <v>753</v>
      </c>
      <c r="Q116" s="8"/>
      <c r="R116" s="8" t="s">
        <v>754</v>
      </c>
      <c r="S116" s="8" t="s">
        <v>754</v>
      </c>
      <c r="T116" s="8"/>
      <c r="U116" s="8"/>
      <c r="V116" s="8"/>
      <c r="W116" s="8" t="s">
        <v>54</v>
      </c>
      <c r="X116" s="8"/>
      <c r="Y116" s="13" t="s">
        <v>755</v>
      </c>
      <c r="Z116" s="8"/>
      <c r="AA116" s="8" t="s">
        <v>56</v>
      </c>
      <c r="AB116" s="8"/>
      <c r="AC116" s="8"/>
      <c r="AD116" s="8"/>
      <c r="AE116" s="8" t="s">
        <v>154</v>
      </c>
      <c r="AF116" s="8"/>
      <c r="AG116" s="8"/>
      <c r="AH116" s="5"/>
      <c r="AI116" s="8"/>
      <c r="AJ116" s="8"/>
      <c r="AK116" s="8"/>
      <c r="AL116" s="8"/>
      <c r="AM116" s="8"/>
      <c r="AN116" s="8"/>
      <c r="AO116" s="13" t="s">
        <v>719</v>
      </c>
    </row>
    <row r="117" spans="1:41" ht="28.5">
      <c r="A117" s="7" t="s">
        <v>756</v>
      </c>
      <c r="B117" s="5">
        <v>46036</v>
      </c>
      <c r="C117" s="17" t="str">
        <f ca="1">IF(B117="","",IF(OR(TRIM(R117)="En curso",TRIM(R117)="En proceso de ingreso"),TODAY()-B117,"Cerrada"))</f>
        <v>Cerrada</v>
      </c>
      <c r="D117" s="8" t="s">
        <v>104</v>
      </c>
      <c r="E117" s="8" t="s">
        <v>43</v>
      </c>
      <c r="F117" s="8"/>
      <c r="G117" s="8"/>
      <c r="H117" s="8"/>
      <c r="I117" s="8"/>
      <c r="J117" s="8" t="s">
        <v>180</v>
      </c>
      <c r="K117" s="8" t="s">
        <v>121</v>
      </c>
      <c r="L117" s="8" t="s">
        <v>757</v>
      </c>
      <c r="M117" s="8" t="s">
        <v>259</v>
      </c>
      <c r="N117" s="8" t="s">
        <v>238</v>
      </c>
      <c r="O117" s="8" t="s">
        <v>758</v>
      </c>
      <c r="P117" s="8" t="s">
        <v>759</v>
      </c>
      <c r="Q117" s="8"/>
      <c r="R117" s="8" t="s">
        <v>52</v>
      </c>
      <c r="S117" s="8" t="s">
        <v>53</v>
      </c>
      <c r="T117" s="8"/>
      <c r="U117" s="8" t="s">
        <v>760</v>
      </c>
      <c r="V117" s="8" t="s">
        <v>472</v>
      </c>
      <c r="W117" s="8" t="s">
        <v>54</v>
      </c>
      <c r="X117" s="8"/>
      <c r="Y117" s="8" t="s">
        <v>761</v>
      </c>
      <c r="Z117" s="8"/>
      <c r="AA117" s="8" t="s">
        <v>56</v>
      </c>
      <c r="AB117" s="8"/>
      <c r="AC117" s="8"/>
      <c r="AD117" s="8" t="s">
        <v>126</v>
      </c>
      <c r="AE117" s="8" t="s">
        <v>264</v>
      </c>
      <c r="AF117" s="5">
        <v>46083</v>
      </c>
      <c r="AG117" s="5">
        <v>46090</v>
      </c>
      <c r="AH117" s="5" t="s">
        <v>73</v>
      </c>
      <c r="AI117" s="8" t="s">
        <v>762</v>
      </c>
      <c r="AJ117" s="8" t="s">
        <v>763</v>
      </c>
      <c r="AK117" s="8" t="s">
        <v>764</v>
      </c>
      <c r="AL117" s="8" t="s">
        <v>116</v>
      </c>
      <c r="AM117" s="8" t="s">
        <v>117</v>
      </c>
      <c r="AN117" s="8"/>
      <c r="AO117" s="8"/>
    </row>
    <row r="118" spans="1:41" ht="28.5">
      <c r="A118" s="7" t="s">
        <v>765</v>
      </c>
      <c r="B118" s="5">
        <v>46036</v>
      </c>
      <c r="C118" s="17" t="str">
        <f ca="1">IF(B118="","",IF(OR(TRIM(R118)="En curso",TRIM(R118)="En proceso de ingreso"),TODAY()-B118,"Cerrada"))</f>
        <v>Cerrada</v>
      </c>
      <c r="D118" s="8" t="s">
        <v>144</v>
      </c>
      <c r="E118" s="8" t="s">
        <v>43</v>
      </c>
      <c r="F118" s="8"/>
      <c r="G118" s="8"/>
      <c r="H118" s="8"/>
      <c r="I118" s="8"/>
      <c r="J118" s="8" t="s">
        <v>145</v>
      </c>
      <c r="K118" s="8" t="s">
        <v>146</v>
      </c>
      <c r="L118" s="8" t="s">
        <v>222</v>
      </c>
      <c r="M118" s="8" t="s">
        <v>766</v>
      </c>
      <c r="N118" s="8" t="s">
        <v>223</v>
      </c>
      <c r="O118" s="8" t="s">
        <v>433</v>
      </c>
      <c r="P118" s="8" t="s">
        <v>606</v>
      </c>
      <c r="Q118" s="8"/>
      <c r="R118" s="8" t="s">
        <v>52</v>
      </c>
      <c r="S118" s="8" t="s">
        <v>53</v>
      </c>
      <c r="T118" s="8"/>
      <c r="U118" s="8" t="s">
        <v>69</v>
      </c>
      <c r="V118" s="8" t="s">
        <v>472</v>
      </c>
      <c r="W118" s="8" t="s">
        <v>54</v>
      </c>
      <c r="X118" s="8"/>
      <c r="Y118" s="8" t="s">
        <v>767</v>
      </c>
      <c r="Z118" s="8"/>
      <c r="AA118" s="8" t="s">
        <v>56</v>
      </c>
      <c r="AB118" s="8"/>
      <c r="AC118" s="8"/>
      <c r="AD118" s="8" t="s">
        <v>608</v>
      </c>
      <c r="AE118" s="8" t="s">
        <v>154</v>
      </c>
      <c r="AF118" s="5">
        <v>46104</v>
      </c>
      <c r="AG118" s="5">
        <v>46120</v>
      </c>
      <c r="AH118" s="5"/>
      <c r="AI118" s="8"/>
      <c r="AJ118" s="8" t="s">
        <v>768</v>
      </c>
      <c r="AK118" s="8" t="s">
        <v>523</v>
      </c>
      <c r="AL118" s="8" t="s">
        <v>207</v>
      </c>
      <c r="AM118" s="8" t="s">
        <v>77</v>
      </c>
      <c r="AN118" s="8" t="s">
        <v>77</v>
      </c>
      <c r="AO118" s="8" t="s">
        <v>769</v>
      </c>
    </row>
    <row r="119" spans="1:41" ht="28.5">
      <c r="A119" s="7" t="s">
        <v>770</v>
      </c>
      <c r="B119" s="5">
        <v>46036</v>
      </c>
      <c r="C119" s="17" t="str">
        <f ca="1">IF(B119="","",IF(OR(TRIM(R119)="En curso",TRIM(R119)="En proceso de ingreso"),TODAY()-B119,"Cerrada"))</f>
        <v>Cerrada</v>
      </c>
      <c r="D119" s="8" t="s">
        <v>144</v>
      </c>
      <c r="E119" s="8" t="s">
        <v>43</v>
      </c>
      <c r="F119" s="8"/>
      <c r="G119" s="8"/>
      <c r="H119" s="8"/>
      <c r="I119" s="8"/>
      <c r="J119" s="8" t="s">
        <v>145</v>
      </c>
      <c r="K119" s="8" t="s">
        <v>146</v>
      </c>
      <c r="L119" s="8" t="s">
        <v>222</v>
      </c>
      <c r="M119" s="8" t="s">
        <v>766</v>
      </c>
      <c r="N119" s="8" t="s">
        <v>223</v>
      </c>
      <c r="O119" s="8" t="s">
        <v>433</v>
      </c>
      <c r="P119" s="8" t="s">
        <v>606</v>
      </c>
      <c r="Q119" s="8"/>
      <c r="R119" s="8" t="s">
        <v>52</v>
      </c>
      <c r="S119" s="8" t="s">
        <v>53</v>
      </c>
      <c r="T119" s="8"/>
      <c r="U119" s="8" t="s">
        <v>69</v>
      </c>
      <c r="V119" s="8" t="s">
        <v>472</v>
      </c>
      <c r="W119" s="8" t="s">
        <v>54</v>
      </c>
      <c r="X119" s="8"/>
      <c r="Y119" s="8" t="s">
        <v>771</v>
      </c>
      <c r="Z119" s="8"/>
      <c r="AA119" s="8" t="s">
        <v>56</v>
      </c>
      <c r="AB119" s="8"/>
      <c r="AC119" s="8"/>
      <c r="AD119" s="8" t="s">
        <v>772</v>
      </c>
      <c r="AE119" s="8" t="s">
        <v>154</v>
      </c>
      <c r="AF119" s="5">
        <v>46104</v>
      </c>
      <c r="AG119" s="5">
        <v>46120</v>
      </c>
      <c r="AH119" s="5"/>
      <c r="AI119" s="8"/>
      <c r="AJ119" s="8" t="s">
        <v>773</v>
      </c>
      <c r="AK119" s="8" t="s">
        <v>523</v>
      </c>
      <c r="AL119" s="8" t="s">
        <v>207</v>
      </c>
      <c r="AM119" s="8" t="s">
        <v>77</v>
      </c>
      <c r="AN119" s="8" t="s">
        <v>77</v>
      </c>
      <c r="AO119" s="8" t="s">
        <v>705</v>
      </c>
    </row>
    <row r="120" spans="1:41" hidden="1">
      <c r="A120" s="7" t="s">
        <v>774</v>
      </c>
      <c r="B120" s="12">
        <v>46037</v>
      </c>
      <c r="C120" s="17" t="str">
        <f ca="1">IF(B120="","",IF(OR(TRIM(R120)="En curso",TRIM(R120)="En proceso de ingreso"),TODAY()-B120,"Cerrada"))</f>
        <v>Cerrada</v>
      </c>
      <c r="D120" s="8" t="s">
        <v>42</v>
      </c>
      <c r="E120" s="8" t="s">
        <v>132</v>
      </c>
      <c r="F120" s="8"/>
      <c r="G120" s="8"/>
      <c r="H120" s="8"/>
      <c r="I120" s="8"/>
      <c r="J120" s="8" t="s">
        <v>145</v>
      </c>
      <c r="K120" s="8"/>
      <c r="L120" s="13" t="s">
        <v>48</v>
      </c>
      <c r="M120" s="13" t="s">
        <v>161</v>
      </c>
      <c r="N120" s="13" t="s">
        <v>49</v>
      </c>
      <c r="O120" s="8" t="s">
        <v>775</v>
      </c>
      <c r="P120" s="13" t="s">
        <v>163</v>
      </c>
      <c r="Q120" s="8"/>
      <c r="R120" s="8" t="s">
        <v>132</v>
      </c>
      <c r="S120" s="8" t="s">
        <v>132</v>
      </c>
      <c r="T120" s="8"/>
      <c r="U120" s="8"/>
      <c r="V120" s="8"/>
      <c r="W120" s="8" t="s">
        <v>54</v>
      </c>
      <c r="X120" s="8"/>
      <c r="Y120" s="13" t="s">
        <v>776</v>
      </c>
      <c r="Z120" s="8"/>
      <c r="AA120" s="8" t="s">
        <v>56</v>
      </c>
      <c r="AB120" s="8"/>
      <c r="AC120" s="8"/>
      <c r="AD120" s="8"/>
      <c r="AE120" s="8"/>
      <c r="AF120" s="8"/>
      <c r="AG120" s="8"/>
      <c r="AH120" s="5"/>
      <c r="AI120" s="8"/>
      <c r="AJ120" s="8"/>
      <c r="AK120" s="8"/>
      <c r="AL120" s="8"/>
      <c r="AM120" s="8"/>
      <c r="AN120" s="8"/>
      <c r="AO120" s="13"/>
    </row>
    <row r="121" spans="1:41" ht="28.5">
      <c r="A121" s="7" t="s">
        <v>777</v>
      </c>
      <c r="B121" s="5">
        <v>46038</v>
      </c>
      <c r="C121" s="17" t="str">
        <f ca="1">IF(B121="","",IF(OR(TRIM(R121)="En curso",TRIM(R121)="En proceso de ingreso"),TODAY()-B121,"Cerrada"))</f>
        <v>Cerrada</v>
      </c>
      <c r="D121" s="8" t="s">
        <v>42</v>
      </c>
      <c r="E121" s="8" t="s">
        <v>43</v>
      </c>
      <c r="F121" s="8"/>
      <c r="G121" s="8"/>
      <c r="H121" s="8"/>
      <c r="I121" s="8"/>
      <c r="J121" s="8" t="s">
        <v>145</v>
      </c>
      <c r="K121" s="8" t="s">
        <v>146</v>
      </c>
      <c r="L121" s="8" t="s">
        <v>134</v>
      </c>
      <c r="M121" s="8" t="s">
        <v>135</v>
      </c>
      <c r="N121" s="8" t="s">
        <v>409</v>
      </c>
      <c r="O121" s="8" t="s">
        <v>410</v>
      </c>
      <c r="P121" s="8" t="s">
        <v>411</v>
      </c>
      <c r="Q121" s="8"/>
      <c r="R121" s="8" t="s">
        <v>52</v>
      </c>
      <c r="S121" s="8" t="s">
        <v>53</v>
      </c>
      <c r="T121" s="8"/>
      <c r="U121" s="8"/>
      <c r="V121" s="8"/>
      <c r="W121" s="8" t="s">
        <v>54</v>
      </c>
      <c r="X121" s="8"/>
      <c r="Y121" s="8" t="s">
        <v>418</v>
      </c>
      <c r="Z121" s="8"/>
      <c r="AA121" s="8" t="s">
        <v>152</v>
      </c>
      <c r="AB121" s="8"/>
      <c r="AC121" s="8"/>
      <c r="AD121" s="8" t="s">
        <v>778</v>
      </c>
      <c r="AE121" s="8" t="s">
        <v>154</v>
      </c>
      <c r="AF121" s="5">
        <v>46065</v>
      </c>
      <c r="AG121" s="5">
        <v>46076</v>
      </c>
      <c r="AH121" s="5"/>
      <c r="AI121" s="8"/>
      <c r="AJ121" s="8" t="s">
        <v>779</v>
      </c>
      <c r="AK121" s="8" t="s">
        <v>748</v>
      </c>
      <c r="AL121" s="8" t="s">
        <v>207</v>
      </c>
      <c r="AM121" s="8" t="s">
        <v>77</v>
      </c>
      <c r="AN121" s="8" t="s">
        <v>77</v>
      </c>
      <c r="AO121" s="8"/>
    </row>
    <row r="122" spans="1:41" ht="28.5">
      <c r="A122" s="7" t="s">
        <v>780</v>
      </c>
      <c r="B122" s="5">
        <v>46045</v>
      </c>
      <c r="C122" s="17" t="str">
        <f ca="1">IF(B122="","",IF(OR(TRIM(R122)="En curso",TRIM(R122)="En proceso de ingreso"),TODAY()-B122,"Cerrada"))</f>
        <v>Cerrada</v>
      </c>
      <c r="D122" s="8" t="s">
        <v>144</v>
      </c>
      <c r="E122" s="8" t="s">
        <v>43</v>
      </c>
      <c r="F122" s="8"/>
      <c r="G122" s="8"/>
      <c r="H122" s="8"/>
      <c r="I122" s="8"/>
      <c r="J122" s="8" t="s">
        <v>145</v>
      </c>
      <c r="K122" s="8" t="s">
        <v>146</v>
      </c>
      <c r="L122" s="8" t="s">
        <v>222</v>
      </c>
      <c r="M122" s="8" t="s">
        <v>199</v>
      </c>
      <c r="N122" s="8" t="s">
        <v>223</v>
      </c>
      <c r="O122" s="8" t="s">
        <v>433</v>
      </c>
      <c r="P122" s="8" t="s">
        <v>225</v>
      </c>
      <c r="Q122" s="8"/>
      <c r="R122" s="8" t="s">
        <v>52</v>
      </c>
      <c r="S122" s="8" t="s">
        <v>53</v>
      </c>
      <c r="T122" s="8"/>
      <c r="U122" s="8"/>
      <c r="V122" s="8"/>
      <c r="W122" s="8" t="s">
        <v>54</v>
      </c>
      <c r="X122" s="8"/>
      <c r="Y122" s="8" t="s">
        <v>781</v>
      </c>
      <c r="Z122" s="8"/>
      <c r="AA122" s="8" t="s">
        <v>173</v>
      </c>
      <c r="AB122" s="8"/>
      <c r="AC122" s="8"/>
      <c r="AD122" s="8" t="s">
        <v>675</v>
      </c>
      <c r="AE122" s="8" t="s">
        <v>154</v>
      </c>
      <c r="AF122" s="5">
        <v>46049</v>
      </c>
      <c r="AG122" s="5">
        <v>46055</v>
      </c>
      <c r="AH122" s="5"/>
      <c r="AI122" s="8"/>
      <c r="AJ122" s="8" t="s">
        <v>782</v>
      </c>
      <c r="AK122" s="8" t="s">
        <v>602</v>
      </c>
      <c r="AL122" s="8" t="s">
        <v>207</v>
      </c>
      <c r="AM122" s="8" t="s">
        <v>77</v>
      </c>
      <c r="AN122" s="8"/>
      <c r="AO122" s="8"/>
    </row>
    <row r="123" spans="1:41" ht="28.5">
      <c r="A123" s="7" t="s">
        <v>783</v>
      </c>
      <c r="B123" s="5">
        <v>46045</v>
      </c>
      <c r="C123" s="17" t="str">
        <f ca="1">IF(B123="","",IF(OR(TRIM(R123)="En curso",TRIM(R123)="En proceso de ingreso"),TODAY()-B123,"Cerrada"))</f>
        <v>Cerrada</v>
      </c>
      <c r="D123" s="8" t="s">
        <v>42</v>
      </c>
      <c r="E123" s="8" t="s">
        <v>43</v>
      </c>
      <c r="F123" s="8"/>
      <c r="G123" s="8"/>
      <c r="H123" s="8"/>
      <c r="I123" s="8"/>
      <c r="J123" s="8" t="s">
        <v>45</v>
      </c>
      <c r="K123" s="8" t="s">
        <v>121</v>
      </c>
      <c r="L123" s="8" t="s">
        <v>122</v>
      </c>
      <c r="M123" s="8" t="s">
        <v>161</v>
      </c>
      <c r="N123" s="8" t="s">
        <v>49</v>
      </c>
      <c r="O123" s="8" t="s">
        <v>364</v>
      </c>
      <c r="P123" s="8" t="s">
        <v>365</v>
      </c>
      <c r="Q123" s="8"/>
      <c r="R123" s="8" t="s">
        <v>52</v>
      </c>
      <c r="S123" s="8" t="s">
        <v>53</v>
      </c>
      <c r="T123" s="8"/>
      <c r="U123" s="8" t="s">
        <v>69</v>
      </c>
      <c r="V123" s="8" t="s">
        <v>70</v>
      </c>
      <c r="W123" s="8" t="s">
        <v>54</v>
      </c>
      <c r="X123" s="8"/>
      <c r="Y123" s="8" t="s">
        <v>784</v>
      </c>
      <c r="Z123" s="8"/>
      <c r="AA123" s="8" t="s">
        <v>56</v>
      </c>
      <c r="AB123" s="8"/>
      <c r="AC123" s="8"/>
      <c r="AD123" s="8" t="s">
        <v>785</v>
      </c>
      <c r="AE123" s="8" t="s">
        <v>127</v>
      </c>
      <c r="AF123" s="5">
        <v>46094</v>
      </c>
      <c r="AG123" s="5">
        <v>46118</v>
      </c>
      <c r="AH123" s="5"/>
      <c r="AI123" s="8"/>
      <c r="AJ123" s="8" t="s">
        <v>786</v>
      </c>
      <c r="AK123" s="8" t="s">
        <v>787</v>
      </c>
      <c r="AL123" s="8" t="s">
        <v>61</v>
      </c>
      <c r="AM123" s="8" t="s">
        <v>44</v>
      </c>
      <c r="AN123" s="8" t="s">
        <v>77</v>
      </c>
      <c r="AO123" s="8"/>
    </row>
    <row r="124" spans="1:41" ht="28.5">
      <c r="A124" s="7" t="s">
        <v>788</v>
      </c>
      <c r="B124" s="5">
        <v>46046</v>
      </c>
      <c r="C124" s="17" t="str">
        <f ca="1">IF(B124="","",IF(OR(TRIM(R124)="En curso",TRIM(R124)="En proceso de ingreso"),TODAY()-B124,"Cerrada"))</f>
        <v>Cerrada</v>
      </c>
      <c r="D124" s="8" t="s">
        <v>144</v>
      </c>
      <c r="E124" s="8" t="s">
        <v>43</v>
      </c>
      <c r="F124" s="8"/>
      <c r="G124" s="8"/>
      <c r="H124" s="8"/>
      <c r="I124" s="8"/>
      <c r="J124" s="8" t="s">
        <v>145</v>
      </c>
      <c r="K124" s="8" t="s">
        <v>146</v>
      </c>
      <c r="L124" s="8" t="s">
        <v>198</v>
      </c>
      <c r="M124" s="8" t="s">
        <v>199</v>
      </c>
      <c r="N124" s="8" t="s">
        <v>200</v>
      </c>
      <c r="O124" s="8" t="s">
        <v>201</v>
      </c>
      <c r="P124" s="8" t="s">
        <v>202</v>
      </c>
      <c r="Q124" s="8"/>
      <c r="R124" s="8" t="s">
        <v>52</v>
      </c>
      <c r="S124" s="8" t="s">
        <v>53</v>
      </c>
      <c r="T124" s="8"/>
      <c r="U124" s="8"/>
      <c r="V124" s="8"/>
      <c r="W124" s="8" t="s">
        <v>54</v>
      </c>
      <c r="X124" s="8"/>
      <c r="Y124" s="8" t="s">
        <v>789</v>
      </c>
      <c r="Z124" s="8"/>
      <c r="AA124" s="8" t="s">
        <v>173</v>
      </c>
      <c r="AB124" s="8"/>
      <c r="AC124" s="8"/>
      <c r="AD124" s="8" t="s">
        <v>204</v>
      </c>
      <c r="AE124" s="8" t="s">
        <v>154</v>
      </c>
      <c r="AF124" s="5">
        <v>46064</v>
      </c>
      <c r="AG124" s="5">
        <v>46064</v>
      </c>
      <c r="AH124" s="5"/>
      <c r="AI124" s="8"/>
      <c r="AJ124" s="8" t="s">
        <v>790</v>
      </c>
      <c r="AK124" s="8" t="s">
        <v>482</v>
      </c>
      <c r="AL124" s="8" t="s">
        <v>207</v>
      </c>
      <c r="AM124" s="8" t="s">
        <v>77</v>
      </c>
      <c r="AN124" s="8" t="s">
        <v>77</v>
      </c>
      <c r="AO124" s="8"/>
    </row>
    <row r="125" spans="1:41" ht="28.5">
      <c r="A125" s="7" t="s">
        <v>791</v>
      </c>
      <c r="B125" s="5">
        <v>46046</v>
      </c>
      <c r="C125" s="17" t="str">
        <f ca="1">IF(B125="","",IF(OR(TRIM(R125)="En curso",TRIM(R125)="En proceso de ingreso"),TODAY()-B125,"Cerrada"))</f>
        <v>Cerrada</v>
      </c>
      <c r="D125" s="8" t="s">
        <v>144</v>
      </c>
      <c r="E125" s="8" t="s">
        <v>43</v>
      </c>
      <c r="F125" s="8"/>
      <c r="G125" s="8"/>
      <c r="H125" s="8"/>
      <c r="I125" s="8"/>
      <c r="J125" s="8" t="s">
        <v>145</v>
      </c>
      <c r="K125" s="8" t="s">
        <v>146</v>
      </c>
      <c r="L125" s="8" t="s">
        <v>198</v>
      </c>
      <c r="M125" s="8" t="s">
        <v>199</v>
      </c>
      <c r="N125" s="8" t="s">
        <v>200</v>
      </c>
      <c r="O125" s="8" t="s">
        <v>201</v>
      </c>
      <c r="P125" s="8" t="s">
        <v>202</v>
      </c>
      <c r="Q125" s="8"/>
      <c r="R125" s="8" t="s">
        <v>52</v>
      </c>
      <c r="S125" s="8" t="s">
        <v>53</v>
      </c>
      <c r="T125" s="8"/>
      <c r="U125" s="8"/>
      <c r="V125" s="8"/>
      <c r="W125" s="8" t="s">
        <v>54</v>
      </c>
      <c r="X125" s="8"/>
      <c r="Y125" s="8" t="s">
        <v>792</v>
      </c>
      <c r="Z125" s="8"/>
      <c r="AA125" s="8" t="s">
        <v>152</v>
      </c>
      <c r="AB125" s="8"/>
      <c r="AC125" s="8"/>
      <c r="AD125" s="8" t="s">
        <v>204</v>
      </c>
      <c r="AE125" s="8" t="s">
        <v>154</v>
      </c>
      <c r="AF125" s="5">
        <v>46052</v>
      </c>
      <c r="AG125" s="5">
        <v>46062</v>
      </c>
      <c r="AH125" s="5"/>
      <c r="AI125" s="8"/>
      <c r="AJ125" s="8" t="s">
        <v>793</v>
      </c>
      <c r="AK125" s="8" t="s">
        <v>482</v>
      </c>
      <c r="AL125" s="8" t="s">
        <v>207</v>
      </c>
      <c r="AM125" s="8" t="s">
        <v>77</v>
      </c>
      <c r="AN125" s="8"/>
      <c r="AO125" s="8"/>
    </row>
    <row r="126" spans="1:41" ht="28.5">
      <c r="A126" s="7" t="s">
        <v>794</v>
      </c>
      <c r="B126" s="5">
        <v>46046</v>
      </c>
      <c r="C126" s="17" t="str">
        <f ca="1">IF(B126="","",IF(OR(TRIM(R126)="En curso",TRIM(R126)="En proceso de ingreso"),TODAY()-B126,"Cerrada"))</f>
        <v>Cerrada</v>
      </c>
      <c r="D126" s="8" t="s">
        <v>144</v>
      </c>
      <c r="E126" s="8" t="s">
        <v>43</v>
      </c>
      <c r="F126" s="8"/>
      <c r="G126" s="8"/>
      <c r="H126" s="8"/>
      <c r="I126" s="8"/>
      <c r="J126" s="8" t="s">
        <v>145</v>
      </c>
      <c r="K126" s="8" t="s">
        <v>146</v>
      </c>
      <c r="L126" s="8" t="s">
        <v>795</v>
      </c>
      <c r="M126" s="8" t="s">
        <v>135</v>
      </c>
      <c r="N126" s="8" t="s">
        <v>200</v>
      </c>
      <c r="O126" s="8" t="s">
        <v>303</v>
      </c>
      <c r="P126" s="8" t="s">
        <v>304</v>
      </c>
      <c r="Q126" s="8"/>
      <c r="R126" s="8" t="s">
        <v>52</v>
      </c>
      <c r="S126" s="8" t="s">
        <v>53</v>
      </c>
      <c r="T126" s="8"/>
      <c r="U126" s="8"/>
      <c r="V126" s="8"/>
      <c r="W126" s="8" t="s">
        <v>54</v>
      </c>
      <c r="X126" s="8"/>
      <c r="Y126" s="8" t="s">
        <v>796</v>
      </c>
      <c r="Z126" s="8"/>
      <c r="AA126" s="8" t="s">
        <v>173</v>
      </c>
      <c r="AB126" s="8"/>
      <c r="AC126" s="8"/>
      <c r="AD126" s="8" t="s">
        <v>306</v>
      </c>
      <c r="AE126" s="8" t="s">
        <v>154</v>
      </c>
      <c r="AF126" s="5">
        <v>46050</v>
      </c>
      <c r="AG126" s="5">
        <v>46055</v>
      </c>
      <c r="AH126" s="5"/>
      <c r="AI126" s="8"/>
      <c r="AJ126" s="8" t="s">
        <v>797</v>
      </c>
      <c r="AK126" s="8" t="s">
        <v>798</v>
      </c>
      <c r="AL126" s="8" t="s">
        <v>207</v>
      </c>
      <c r="AM126" s="8" t="s">
        <v>77</v>
      </c>
      <c r="AN126" s="8"/>
      <c r="AO126" s="8"/>
    </row>
    <row r="127" spans="1:41" ht="28.5">
      <c r="A127" s="7" t="s">
        <v>799</v>
      </c>
      <c r="B127" s="5">
        <v>46046</v>
      </c>
      <c r="C127" s="17" t="str">
        <f ca="1">IF(B127="","",IF(OR(TRIM(R127)="En curso",TRIM(R127)="En proceso de ingreso"),TODAY()-B127,"Cerrada"))</f>
        <v>Cerrada</v>
      </c>
      <c r="D127" s="8" t="s">
        <v>144</v>
      </c>
      <c r="E127" s="8" t="s">
        <v>43</v>
      </c>
      <c r="F127" s="8"/>
      <c r="G127" s="8"/>
      <c r="H127" s="8"/>
      <c r="I127" s="8"/>
      <c r="J127" s="8" t="s">
        <v>145</v>
      </c>
      <c r="K127" s="8" t="s">
        <v>146</v>
      </c>
      <c r="L127" s="8" t="s">
        <v>198</v>
      </c>
      <c r="M127" s="8" t="s">
        <v>199</v>
      </c>
      <c r="N127" s="8" t="s">
        <v>200</v>
      </c>
      <c r="O127" s="8" t="s">
        <v>201</v>
      </c>
      <c r="P127" s="8" t="s">
        <v>202</v>
      </c>
      <c r="Q127" s="8"/>
      <c r="R127" s="8" t="s">
        <v>52</v>
      </c>
      <c r="S127" s="8" t="s">
        <v>53</v>
      </c>
      <c r="T127" s="8"/>
      <c r="U127" s="8" t="s">
        <v>69</v>
      </c>
      <c r="V127" s="8" t="s">
        <v>70</v>
      </c>
      <c r="W127" s="8" t="s">
        <v>54</v>
      </c>
      <c r="X127" s="8"/>
      <c r="Y127" s="8" t="s">
        <v>800</v>
      </c>
      <c r="Z127" s="8"/>
      <c r="AA127" s="8" t="s">
        <v>152</v>
      </c>
      <c r="AB127" s="8"/>
      <c r="AC127" s="8"/>
      <c r="AD127" s="8" t="s">
        <v>521</v>
      </c>
      <c r="AE127" s="8" t="s">
        <v>154</v>
      </c>
      <c r="AF127" s="5">
        <v>46084</v>
      </c>
      <c r="AG127" s="5">
        <v>46090</v>
      </c>
      <c r="AH127" s="5"/>
      <c r="AI127" s="8"/>
      <c r="AJ127" s="8" t="s">
        <v>801</v>
      </c>
      <c r="AK127" s="8" t="s">
        <v>802</v>
      </c>
      <c r="AL127" s="8" t="s">
        <v>207</v>
      </c>
      <c r="AM127" s="8" t="s">
        <v>77</v>
      </c>
      <c r="AN127" s="8"/>
      <c r="AO127" s="8"/>
    </row>
    <row r="128" spans="1:41" ht="28.5">
      <c r="A128" s="7" t="s">
        <v>803</v>
      </c>
      <c r="B128" s="5">
        <v>46048</v>
      </c>
      <c r="C128" s="17" t="str">
        <f ca="1">IF(B128="","",IF(OR(TRIM(R128)="En curso",TRIM(R128)="En proceso de ingreso"),TODAY()-B128,"Cerrada"))</f>
        <v>Cerrada</v>
      </c>
      <c r="D128" s="8" t="s">
        <v>42</v>
      </c>
      <c r="E128" s="8" t="s">
        <v>43</v>
      </c>
      <c r="F128" s="8"/>
      <c r="G128" s="8"/>
      <c r="H128" s="8"/>
      <c r="I128" s="8"/>
      <c r="J128" s="8" t="s">
        <v>190</v>
      </c>
      <c r="K128" s="8"/>
      <c r="L128" s="8" t="s">
        <v>134</v>
      </c>
      <c r="M128" s="8" t="s">
        <v>135</v>
      </c>
      <c r="N128" s="8" t="s">
        <v>409</v>
      </c>
      <c r="O128" s="8" t="s">
        <v>410</v>
      </c>
      <c r="P128" s="8" t="s">
        <v>804</v>
      </c>
      <c r="Q128" s="8"/>
      <c r="R128" s="8" t="s">
        <v>52</v>
      </c>
      <c r="S128" s="8" t="s">
        <v>53</v>
      </c>
      <c r="T128" s="8"/>
      <c r="U128" s="8" t="s">
        <v>70</v>
      </c>
      <c r="V128" s="8" t="s">
        <v>472</v>
      </c>
      <c r="W128" s="8" t="s">
        <v>54</v>
      </c>
      <c r="X128" s="8"/>
      <c r="Y128" s="8" t="s">
        <v>805</v>
      </c>
      <c r="Z128" s="8"/>
      <c r="AA128" s="8" t="s">
        <v>56</v>
      </c>
      <c r="AB128" s="8"/>
      <c r="AC128" s="8"/>
      <c r="AD128" s="8" t="s">
        <v>806</v>
      </c>
      <c r="AE128" s="8" t="s">
        <v>190</v>
      </c>
      <c r="AF128" s="5">
        <v>46091</v>
      </c>
      <c r="AG128" s="5">
        <v>46094</v>
      </c>
      <c r="AH128" s="5" t="s">
        <v>73</v>
      </c>
      <c r="AI128" s="8"/>
      <c r="AJ128" s="8" t="s">
        <v>807</v>
      </c>
      <c r="AK128" s="8" t="s">
        <v>808</v>
      </c>
      <c r="AL128" s="8" t="s">
        <v>809</v>
      </c>
      <c r="AM128" s="8" t="s">
        <v>77</v>
      </c>
      <c r="AN128" s="8" t="s">
        <v>77</v>
      </c>
      <c r="AO128" s="8" t="s">
        <v>810</v>
      </c>
    </row>
    <row r="129" spans="1:41" hidden="1">
      <c r="A129" s="7" t="s">
        <v>811</v>
      </c>
      <c r="B129" s="12">
        <v>46048</v>
      </c>
      <c r="C129" s="17" t="str">
        <f ca="1">IF(B129="","",IF(OR(TRIM(R129)="En curso",TRIM(R129)="En proceso de ingreso"),TODAY()-B129,"Cerrada"))</f>
        <v>Cerrada</v>
      </c>
      <c r="D129" s="8" t="s">
        <v>144</v>
      </c>
      <c r="E129" s="8" t="s">
        <v>132</v>
      </c>
      <c r="F129" s="8"/>
      <c r="G129" s="8"/>
      <c r="H129" s="8"/>
      <c r="I129" s="8"/>
      <c r="J129" s="8" t="s">
        <v>145</v>
      </c>
      <c r="K129" s="8"/>
      <c r="L129" s="13" t="s">
        <v>795</v>
      </c>
      <c r="M129" s="13" t="s">
        <v>135</v>
      </c>
      <c r="N129" s="8" t="s">
        <v>200</v>
      </c>
      <c r="O129" s="8" t="s">
        <v>303</v>
      </c>
      <c r="P129" s="13" t="s">
        <v>304</v>
      </c>
      <c r="Q129" s="8"/>
      <c r="R129" s="8" t="s">
        <v>132</v>
      </c>
      <c r="S129" s="8" t="s">
        <v>132</v>
      </c>
      <c r="T129" s="8"/>
      <c r="U129" s="8"/>
      <c r="V129" s="8"/>
      <c r="W129" s="8" t="s">
        <v>54</v>
      </c>
      <c r="X129" s="8"/>
      <c r="Y129" s="13" t="s">
        <v>812</v>
      </c>
      <c r="Z129" s="8"/>
      <c r="AA129" s="8" t="s">
        <v>56</v>
      </c>
      <c r="AB129" s="8"/>
      <c r="AC129" s="8"/>
      <c r="AD129" s="8"/>
      <c r="AE129" s="8"/>
      <c r="AF129" s="8"/>
      <c r="AG129" s="8"/>
      <c r="AH129" s="5"/>
      <c r="AI129" s="8"/>
      <c r="AJ129" s="8"/>
      <c r="AK129" s="8"/>
      <c r="AL129" s="8"/>
      <c r="AM129" s="8"/>
      <c r="AN129" s="8"/>
      <c r="AO129" s="13"/>
    </row>
    <row r="130" spans="1:41" ht="28.5">
      <c r="A130" s="7" t="s">
        <v>813</v>
      </c>
      <c r="B130" s="5">
        <v>46052</v>
      </c>
      <c r="C130" s="17" t="str">
        <f ca="1">IF(B130="","",IF(OR(TRIM(R130)="En curso",TRIM(R130)="En proceso de ingreso"),TODAY()-B130,"Cerrada"))</f>
        <v>Cerrada</v>
      </c>
      <c r="D130" s="8" t="s">
        <v>144</v>
      </c>
      <c r="E130" s="8" t="s">
        <v>43</v>
      </c>
      <c r="F130" s="8"/>
      <c r="G130" s="8"/>
      <c r="H130" s="8"/>
      <c r="I130" s="8"/>
      <c r="J130" s="8" t="s">
        <v>145</v>
      </c>
      <c r="K130" s="8" t="s">
        <v>146</v>
      </c>
      <c r="L130" s="8" t="s">
        <v>198</v>
      </c>
      <c r="M130" s="8" t="s">
        <v>199</v>
      </c>
      <c r="N130" s="8" t="s">
        <v>200</v>
      </c>
      <c r="O130" s="8" t="s">
        <v>201</v>
      </c>
      <c r="P130" s="8" t="s">
        <v>202</v>
      </c>
      <c r="Q130" s="8"/>
      <c r="R130" s="8" t="s">
        <v>52</v>
      </c>
      <c r="S130" s="8" t="s">
        <v>53</v>
      </c>
      <c r="T130" s="8"/>
      <c r="U130" s="8" t="s">
        <v>69</v>
      </c>
      <c r="V130" s="8" t="s">
        <v>70</v>
      </c>
      <c r="W130" s="8" t="s">
        <v>54</v>
      </c>
      <c r="X130" s="8"/>
      <c r="Y130" s="8" t="s">
        <v>814</v>
      </c>
      <c r="Z130" s="8"/>
      <c r="AA130" s="8" t="s">
        <v>56</v>
      </c>
      <c r="AB130" s="8"/>
      <c r="AC130" s="8"/>
      <c r="AD130" s="8" t="s">
        <v>521</v>
      </c>
      <c r="AE130" s="8" t="s">
        <v>154</v>
      </c>
      <c r="AF130" s="5">
        <v>46104</v>
      </c>
      <c r="AG130" s="5">
        <v>46120</v>
      </c>
      <c r="AH130" s="5"/>
      <c r="AI130" s="8"/>
      <c r="AJ130" s="8" t="s">
        <v>815</v>
      </c>
      <c r="AK130" s="8" t="s">
        <v>802</v>
      </c>
      <c r="AL130" s="8" t="s">
        <v>207</v>
      </c>
      <c r="AM130" s="8" t="s">
        <v>77</v>
      </c>
      <c r="AN130" s="8"/>
      <c r="AO130" s="8" t="s">
        <v>816</v>
      </c>
    </row>
    <row r="131" spans="1:41" ht="28.5">
      <c r="A131" s="7" t="s">
        <v>817</v>
      </c>
      <c r="B131" s="5">
        <v>46053</v>
      </c>
      <c r="C131" s="17" t="str">
        <f ca="1">IF(B131="","",IF(OR(TRIM(R131)="En curso",TRIM(R131)="En proceso de ingreso"),TODAY()-B131,"Cerrada"))</f>
        <v>Cerrada</v>
      </c>
      <c r="D131" s="8" t="s">
        <v>144</v>
      </c>
      <c r="E131" s="8" t="s">
        <v>43</v>
      </c>
      <c r="F131" s="8"/>
      <c r="G131" s="8"/>
      <c r="H131" s="8"/>
      <c r="I131" s="8"/>
      <c r="J131" s="8" t="s">
        <v>145</v>
      </c>
      <c r="K131" s="8" t="s">
        <v>146</v>
      </c>
      <c r="L131" s="8" t="s">
        <v>293</v>
      </c>
      <c r="M131" s="8" t="s">
        <v>294</v>
      </c>
      <c r="N131" s="8" t="s">
        <v>170</v>
      </c>
      <c r="O131" s="8" t="s">
        <v>818</v>
      </c>
      <c r="P131" s="8" t="s">
        <v>296</v>
      </c>
      <c r="Q131" s="8"/>
      <c r="R131" s="8" t="s">
        <v>52</v>
      </c>
      <c r="S131" s="8" t="s">
        <v>53</v>
      </c>
      <c r="T131" s="8"/>
      <c r="U131" s="8" t="s">
        <v>69</v>
      </c>
      <c r="V131" s="8" t="s">
        <v>70</v>
      </c>
      <c r="W131" s="8" t="s">
        <v>54</v>
      </c>
      <c r="X131" s="8"/>
      <c r="Y131" s="8" t="s">
        <v>656</v>
      </c>
      <c r="Z131" s="8"/>
      <c r="AA131" s="8" t="s">
        <v>56</v>
      </c>
      <c r="AB131" s="8"/>
      <c r="AC131" s="8"/>
      <c r="AD131" s="8" t="s">
        <v>622</v>
      </c>
      <c r="AE131" s="8" t="s">
        <v>154</v>
      </c>
      <c r="AF131" s="5">
        <v>46084</v>
      </c>
      <c r="AG131" s="5">
        <v>46090</v>
      </c>
      <c r="AH131" s="5"/>
      <c r="AI131" s="8"/>
      <c r="AJ131" s="8" t="s">
        <v>819</v>
      </c>
      <c r="AK131" s="8" t="s">
        <v>820</v>
      </c>
      <c r="AL131" s="8" t="s">
        <v>207</v>
      </c>
      <c r="AM131" s="8" t="s">
        <v>77</v>
      </c>
      <c r="AN131" s="8"/>
      <c r="AO131" s="8"/>
    </row>
    <row r="132" spans="1:41" ht="28.5">
      <c r="A132" s="7" t="s">
        <v>821</v>
      </c>
      <c r="B132" s="5">
        <v>46053</v>
      </c>
      <c r="C132" s="17" t="str">
        <f ca="1">IF(B132="","",IF(OR(TRIM(R132)="En curso",TRIM(R132)="En proceso de ingreso"),TODAY()-B132,"Cerrada"))</f>
        <v>Cerrada</v>
      </c>
      <c r="D132" s="8" t="s">
        <v>144</v>
      </c>
      <c r="E132" s="8" t="s">
        <v>43</v>
      </c>
      <c r="F132" s="8"/>
      <c r="G132" s="8"/>
      <c r="H132" s="8"/>
      <c r="I132" s="8"/>
      <c r="J132" s="8" t="s">
        <v>145</v>
      </c>
      <c r="K132" s="8" t="s">
        <v>146</v>
      </c>
      <c r="L132" s="8" t="s">
        <v>293</v>
      </c>
      <c r="M132" s="8" t="s">
        <v>294</v>
      </c>
      <c r="N132" s="8" t="s">
        <v>170</v>
      </c>
      <c r="O132" s="8" t="s">
        <v>818</v>
      </c>
      <c r="P132" s="8" t="s">
        <v>296</v>
      </c>
      <c r="Q132" s="8"/>
      <c r="R132" s="8" t="s">
        <v>52</v>
      </c>
      <c r="S132" s="8" t="s">
        <v>53</v>
      </c>
      <c r="T132" s="8"/>
      <c r="U132" s="8" t="s">
        <v>69</v>
      </c>
      <c r="V132" s="8" t="s">
        <v>70</v>
      </c>
      <c r="W132" s="8" t="s">
        <v>54</v>
      </c>
      <c r="X132" s="8"/>
      <c r="Y132" s="8" t="s">
        <v>500</v>
      </c>
      <c r="Z132" s="8"/>
      <c r="AA132" s="8" t="s">
        <v>56</v>
      </c>
      <c r="AB132" s="8"/>
      <c r="AC132" s="8"/>
      <c r="AD132" s="8" t="s">
        <v>622</v>
      </c>
      <c r="AE132" s="8" t="s">
        <v>154</v>
      </c>
      <c r="AF132" s="5">
        <v>46084</v>
      </c>
      <c r="AG132" s="5">
        <v>46090</v>
      </c>
      <c r="AH132" s="5"/>
      <c r="AI132" s="8"/>
      <c r="AJ132" s="8" t="s">
        <v>822</v>
      </c>
      <c r="AK132" s="8" t="s">
        <v>820</v>
      </c>
      <c r="AL132" s="8" t="s">
        <v>207</v>
      </c>
      <c r="AM132" s="8" t="s">
        <v>77</v>
      </c>
      <c r="AN132" s="8"/>
      <c r="AO132" s="8"/>
    </row>
    <row r="133" spans="1:41" ht="28.5">
      <c r="A133" s="7" t="s">
        <v>823</v>
      </c>
      <c r="B133" s="5">
        <v>46054</v>
      </c>
      <c r="C133" s="17" t="str">
        <f ca="1">IF(B133="","",IF(OR(TRIM(R133)="En curso",TRIM(R133)="En proceso de ingreso"),TODAY()-B133,"Cerrada"))</f>
        <v>Cerrada</v>
      </c>
      <c r="D133" s="8" t="s">
        <v>144</v>
      </c>
      <c r="E133" s="8" t="s">
        <v>43</v>
      </c>
      <c r="F133" s="8"/>
      <c r="G133" s="8"/>
      <c r="H133" s="8"/>
      <c r="I133" s="8"/>
      <c r="J133" s="8" t="s">
        <v>145</v>
      </c>
      <c r="K133" s="8" t="s">
        <v>146</v>
      </c>
      <c r="L133" s="8" t="s">
        <v>222</v>
      </c>
      <c r="M133" s="8" t="s">
        <v>766</v>
      </c>
      <c r="N133" s="8" t="s">
        <v>223</v>
      </c>
      <c r="O133" s="8" t="s">
        <v>433</v>
      </c>
      <c r="P133" s="8" t="s">
        <v>606</v>
      </c>
      <c r="Q133" s="8"/>
      <c r="R133" s="8" t="s">
        <v>52</v>
      </c>
      <c r="S133" s="8" t="s">
        <v>53</v>
      </c>
      <c r="T133" s="8"/>
      <c r="U133" s="8" t="s">
        <v>69</v>
      </c>
      <c r="V133" s="8" t="s">
        <v>472</v>
      </c>
      <c r="W133" s="8" t="s">
        <v>54</v>
      </c>
      <c r="X133" s="8"/>
      <c r="Y133" s="8" t="s">
        <v>824</v>
      </c>
      <c r="Z133" s="8"/>
      <c r="AA133" s="8" t="s">
        <v>56</v>
      </c>
      <c r="AB133" s="8"/>
      <c r="AC133" s="8"/>
      <c r="AD133" s="8" t="s">
        <v>772</v>
      </c>
      <c r="AE133" s="8" t="s">
        <v>154</v>
      </c>
      <c r="AF133" s="5">
        <v>46110</v>
      </c>
      <c r="AG133" s="5">
        <v>46120</v>
      </c>
      <c r="AH133" s="5"/>
      <c r="AI133" s="8"/>
      <c r="AJ133" s="8" t="s">
        <v>825</v>
      </c>
      <c r="AK133" s="8" t="s">
        <v>826</v>
      </c>
      <c r="AL133" s="8" t="s">
        <v>207</v>
      </c>
      <c r="AM133" s="8" t="s">
        <v>77</v>
      </c>
      <c r="AN133" s="8" t="s">
        <v>77</v>
      </c>
      <c r="AO133" s="8" t="s">
        <v>705</v>
      </c>
    </row>
    <row r="134" spans="1:41" ht="28.5">
      <c r="A134" s="7" t="s">
        <v>827</v>
      </c>
      <c r="B134" s="5">
        <v>46055</v>
      </c>
      <c r="C134" s="17" t="str">
        <f ca="1">IF(B134="","",IF(OR(TRIM(R134)="En curso",TRIM(R134)="En proceso de ingreso"),TODAY()-B134,"Cerrada"))</f>
        <v>Cerrada</v>
      </c>
      <c r="D134" s="8" t="s">
        <v>144</v>
      </c>
      <c r="E134" s="8" t="s">
        <v>43</v>
      </c>
      <c r="F134" s="8"/>
      <c r="G134" s="8"/>
      <c r="H134" s="8"/>
      <c r="I134" s="8"/>
      <c r="J134" s="8" t="s">
        <v>145</v>
      </c>
      <c r="K134" s="8" t="s">
        <v>146</v>
      </c>
      <c r="L134" s="8" t="s">
        <v>198</v>
      </c>
      <c r="M134" s="8" t="s">
        <v>199</v>
      </c>
      <c r="N134" s="8" t="s">
        <v>200</v>
      </c>
      <c r="O134" s="8" t="s">
        <v>201</v>
      </c>
      <c r="P134" s="8" t="s">
        <v>202</v>
      </c>
      <c r="Q134" s="8"/>
      <c r="R134" s="8" t="s">
        <v>52</v>
      </c>
      <c r="S134" s="8" t="s">
        <v>53</v>
      </c>
      <c r="T134" s="8"/>
      <c r="U134" s="8"/>
      <c r="V134" s="8"/>
      <c r="W134" s="8" t="s">
        <v>54</v>
      </c>
      <c r="X134" s="8"/>
      <c r="Y134" s="8" t="s">
        <v>828</v>
      </c>
      <c r="Z134" s="8"/>
      <c r="AA134" s="8" t="s">
        <v>173</v>
      </c>
      <c r="AB134" s="8"/>
      <c r="AC134" s="8"/>
      <c r="AD134" s="8" t="s">
        <v>829</v>
      </c>
      <c r="AE134" s="8" t="s">
        <v>154</v>
      </c>
      <c r="AF134" s="8"/>
      <c r="AG134" s="5">
        <v>46064</v>
      </c>
      <c r="AH134" s="5"/>
      <c r="AI134" s="8"/>
      <c r="AJ134" s="8" t="s">
        <v>830</v>
      </c>
      <c r="AK134" s="8" t="s">
        <v>575</v>
      </c>
      <c r="AL134" s="8" t="s">
        <v>207</v>
      </c>
      <c r="AM134" s="8" t="s">
        <v>77</v>
      </c>
      <c r="AN134" s="8" t="s">
        <v>77</v>
      </c>
      <c r="AO134" s="8"/>
    </row>
    <row r="135" spans="1:41" ht="28.5">
      <c r="A135" s="7" t="s">
        <v>831</v>
      </c>
      <c r="B135" s="5">
        <v>46055</v>
      </c>
      <c r="C135" s="17" t="str">
        <f ca="1">IF(B135="","",IF(OR(TRIM(R135)="En curso",TRIM(R135)="En proceso de ingreso"),TODAY()-B135,"Cerrada"))</f>
        <v>Cerrada</v>
      </c>
      <c r="D135" s="8" t="s">
        <v>144</v>
      </c>
      <c r="E135" s="8" t="s">
        <v>43</v>
      </c>
      <c r="F135" s="8"/>
      <c r="G135" s="8"/>
      <c r="H135" s="8"/>
      <c r="I135" s="8"/>
      <c r="J135" s="8" t="s">
        <v>145</v>
      </c>
      <c r="K135" s="8" t="s">
        <v>146</v>
      </c>
      <c r="L135" s="8" t="s">
        <v>198</v>
      </c>
      <c r="M135" s="8" t="s">
        <v>199</v>
      </c>
      <c r="N135" s="8" t="s">
        <v>200</v>
      </c>
      <c r="O135" s="8" t="s">
        <v>201</v>
      </c>
      <c r="P135" s="8" t="s">
        <v>202</v>
      </c>
      <c r="Q135" s="8"/>
      <c r="R135" s="8" t="s">
        <v>52</v>
      </c>
      <c r="S135" s="8" t="s">
        <v>53</v>
      </c>
      <c r="T135" s="8"/>
      <c r="U135" s="8"/>
      <c r="V135" s="8"/>
      <c r="W135" s="8" t="s">
        <v>54</v>
      </c>
      <c r="X135" s="8"/>
      <c r="Y135" s="8" t="s">
        <v>832</v>
      </c>
      <c r="Z135" s="8"/>
      <c r="AA135" s="8" t="s">
        <v>173</v>
      </c>
      <c r="AB135" s="8"/>
      <c r="AC135" s="8"/>
      <c r="AD135" s="8" t="s">
        <v>833</v>
      </c>
      <c r="AE135" s="8" t="s">
        <v>154</v>
      </c>
      <c r="AF135" s="5">
        <v>46072</v>
      </c>
      <c r="AG135" s="5">
        <v>46076</v>
      </c>
      <c r="AH135" s="5"/>
      <c r="AI135" s="8"/>
      <c r="AJ135" s="8" t="s">
        <v>834</v>
      </c>
      <c r="AK135" s="8" t="s">
        <v>575</v>
      </c>
      <c r="AL135" s="8" t="s">
        <v>207</v>
      </c>
      <c r="AM135" s="8" t="s">
        <v>77</v>
      </c>
      <c r="AN135" s="8" t="s">
        <v>77</v>
      </c>
      <c r="AO135" s="8"/>
    </row>
    <row r="136" spans="1:41" ht="28.5">
      <c r="A136" s="7" t="s">
        <v>835</v>
      </c>
      <c r="B136" s="5">
        <v>46055</v>
      </c>
      <c r="C136" s="17" t="str">
        <f ca="1">IF(B136="","",IF(OR(TRIM(R136)="En curso",TRIM(R136)="En proceso de ingreso"),TODAY()-B136,"Cerrada"))</f>
        <v>Cerrada</v>
      </c>
      <c r="D136" s="8" t="s">
        <v>144</v>
      </c>
      <c r="E136" s="8" t="s">
        <v>43</v>
      </c>
      <c r="F136" s="8"/>
      <c r="G136" s="8"/>
      <c r="H136" s="8"/>
      <c r="I136" s="8"/>
      <c r="J136" s="8" t="s">
        <v>145</v>
      </c>
      <c r="K136" s="8" t="s">
        <v>146</v>
      </c>
      <c r="L136" s="8" t="s">
        <v>198</v>
      </c>
      <c r="M136" s="8" t="s">
        <v>199</v>
      </c>
      <c r="N136" s="8" t="s">
        <v>200</v>
      </c>
      <c r="O136" s="8" t="s">
        <v>201</v>
      </c>
      <c r="P136" s="8" t="s">
        <v>202</v>
      </c>
      <c r="Q136" s="8"/>
      <c r="R136" s="8" t="s">
        <v>52</v>
      </c>
      <c r="S136" s="8" t="s">
        <v>53</v>
      </c>
      <c r="T136" s="8"/>
      <c r="U136" s="8"/>
      <c r="V136" s="8"/>
      <c r="W136" s="8" t="s">
        <v>54</v>
      </c>
      <c r="X136" s="8"/>
      <c r="Y136" s="8" t="s">
        <v>836</v>
      </c>
      <c r="Z136" s="8"/>
      <c r="AA136" s="8" t="s">
        <v>173</v>
      </c>
      <c r="AB136" s="8"/>
      <c r="AC136" s="8"/>
      <c r="AD136" s="8" t="s">
        <v>837</v>
      </c>
      <c r="AE136" s="8" t="s">
        <v>154</v>
      </c>
      <c r="AF136" s="5">
        <v>46072</v>
      </c>
      <c r="AG136" s="5">
        <v>46076</v>
      </c>
      <c r="AH136" s="5"/>
      <c r="AI136" s="8"/>
      <c r="AJ136" s="8" t="s">
        <v>838</v>
      </c>
      <c r="AK136" s="8" t="s">
        <v>575</v>
      </c>
      <c r="AL136" s="8" t="s">
        <v>207</v>
      </c>
      <c r="AM136" s="8" t="s">
        <v>77</v>
      </c>
      <c r="AN136" s="8" t="s">
        <v>77</v>
      </c>
      <c r="AO136" s="8"/>
    </row>
    <row r="137" spans="1:41" ht="28.5">
      <c r="A137" s="7" t="s">
        <v>839</v>
      </c>
      <c r="B137" s="5">
        <v>46055</v>
      </c>
      <c r="C137" s="17" t="str">
        <f ca="1">IF(B137="","",IF(OR(TRIM(R137)="En curso",TRIM(R137)="En proceso de ingreso"),TODAY()-B137,"Cerrada"))</f>
        <v>Cerrada</v>
      </c>
      <c r="D137" s="8" t="s">
        <v>144</v>
      </c>
      <c r="E137" s="8" t="s">
        <v>43</v>
      </c>
      <c r="F137" s="8"/>
      <c r="G137" s="8"/>
      <c r="H137" s="8"/>
      <c r="I137" s="8"/>
      <c r="J137" s="8" t="s">
        <v>145</v>
      </c>
      <c r="K137" s="8" t="s">
        <v>146</v>
      </c>
      <c r="L137" s="8" t="s">
        <v>198</v>
      </c>
      <c r="M137" s="8" t="s">
        <v>199</v>
      </c>
      <c r="N137" s="8" t="s">
        <v>200</v>
      </c>
      <c r="O137" s="8" t="s">
        <v>201</v>
      </c>
      <c r="P137" s="8" t="s">
        <v>202</v>
      </c>
      <c r="Q137" s="8"/>
      <c r="R137" s="8" t="s">
        <v>52</v>
      </c>
      <c r="S137" s="8" t="s">
        <v>53</v>
      </c>
      <c r="T137" s="8"/>
      <c r="U137" s="8"/>
      <c r="V137" s="8"/>
      <c r="W137" s="8" t="s">
        <v>54</v>
      </c>
      <c r="X137" s="8"/>
      <c r="Y137" s="8" t="s">
        <v>840</v>
      </c>
      <c r="Z137" s="8"/>
      <c r="AA137" s="8" t="s">
        <v>173</v>
      </c>
      <c r="AB137" s="8"/>
      <c r="AC137" s="8"/>
      <c r="AD137" s="8" t="s">
        <v>841</v>
      </c>
      <c r="AE137" s="8" t="s">
        <v>154</v>
      </c>
      <c r="AF137" s="5">
        <v>46072</v>
      </c>
      <c r="AG137" s="5">
        <v>46076</v>
      </c>
      <c r="AH137" s="5"/>
      <c r="AI137" s="8"/>
      <c r="AJ137" s="8" t="s">
        <v>842</v>
      </c>
      <c r="AK137" s="8" t="s">
        <v>575</v>
      </c>
      <c r="AL137" s="8" t="s">
        <v>207</v>
      </c>
      <c r="AM137" s="8" t="s">
        <v>77</v>
      </c>
      <c r="AN137" s="8" t="s">
        <v>77</v>
      </c>
      <c r="AO137" s="8"/>
    </row>
    <row r="138" spans="1:41" ht="28.5">
      <c r="A138" s="7" t="s">
        <v>843</v>
      </c>
      <c r="B138" s="5">
        <v>46055</v>
      </c>
      <c r="C138" s="17" t="str">
        <f ca="1">IF(B138="","",IF(OR(TRIM(R138)="En curso",TRIM(R138)="En proceso de ingreso"),TODAY()-B138,"Cerrada"))</f>
        <v>Cerrada</v>
      </c>
      <c r="D138" s="8" t="s">
        <v>144</v>
      </c>
      <c r="E138" s="8" t="s">
        <v>43</v>
      </c>
      <c r="F138" s="8"/>
      <c r="G138" s="8"/>
      <c r="H138" s="8"/>
      <c r="I138" s="8"/>
      <c r="J138" s="8" t="s">
        <v>145</v>
      </c>
      <c r="K138" s="8" t="s">
        <v>146</v>
      </c>
      <c r="L138" s="8" t="s">
        <v>198</v>
      </c>
      <c r="M138" s="8" t="s">
        <v>199</v>
      </c>
      <c r="N138" s="8" t="s">
        <v>200</v>
      </c>
      <c r="O138" s="8" t="s">
        <v>201</v>
      </c>
      <c r="P138" s="8" t="s">
        <v>202</v>
      </c>
      <c r="Q138" s="8"/>
      <c r="R138" s="8" t="s">
        <v>52</v>
      </c>
      <c r="S138" s="8" t="s">
        <v>53</v>
      </c>
      <c r="T138" s="8"/>
      <c r="U138" s="8"/>
      <c r="V138" s="8"/>
      <c r="W138" s="8" t="s">
        <v>54</v>
      </c>
      <c r="X138" s="8"/>
      <c r="Y138" s="8" t="s">
        <v>844</v>
      </c>
      <c r="Z138" s="8"/>
      <c r="AA138" s="8" t="s">
        <v>173</v>
      </c>
      <c r="AB138" s="8"/>
      <c r="AC138" s="8"/>
      <c r="AD138" s="8" t="s">
        <v>521</v>
      </c>
      <c r="AE138" s="8" t="s">
        <v>154</v>
      </c>
      <c r="AF138" s="5">
        <v>46064</v>
      </c>
      <c r="AG138" s="5">
        <v>46064</v>
      </c>
      <c r="AH138" s="5"/>
      <c r="AI138" s="8"/>
      <c r="AJ138" s="8" t="s">
        <v>845</v>
      </c>
      <c r="AK138" s="8" t="s">
        <v>846</v>
      </c>
      <c r="AL138" s="8" t="s">
        <v>207</v>
      </c>
      <c r="AM138" s="8" t="s">
        <v>77</v>
      </c>
      <c r="AN138" s="8" t="s">
        <v>77</v>
      </c>
      <c r="AO138" s="8"/>
    </row>
    <row r="139" spans="1:41" ht="28.5">
      <c r="A139" s="7" t="s">
        <v>847</v>
      </c>
      <c r="B139" s="5">
        <v>46055</v>
      </c>
      <c r="C139" s="17" t="str">
        <f ca="1">IF(B139="","",IF(OR(TRIM(R139)="En curso",TRIM(R139)="En proceso de ingreso"),TODAY()-B139,"Cerrada"))</f>
        <v>Cerrada</v>
      </c>
      <c r="D139" s="8" t="s">
        <v>42</v>
      </c>
      <c r="E139" s="8" t="s">
        <v>43</v>
      </c>
      <c r="F139" s="8"/>
      <c r="G139" s="8" t="s">
        <v>44</v>
      </c>
      <c r="H139" s="8" t="s">
        <v>187</v>
      </c>
      <c r="I139" s="8"/>
      <c r="J139" s="8" t="s">
        <v>145</v>
      </c>
      <c r="K139" s="8" t="s">
        <v>146</v>
      </c>
      <c r="L139" s="8" t="s">
        <v>282</v>
      </c>
      <c r="M139" s="8" t="s">
        <v>282</v>
      </c>
      <c r="N139" s="8" t="s">
        <v>469</v>
      </c>
      <c r="O139" s="8" t="s">
        <v>647</v>
      </c>
      <c r="P139" s="8" t="s">
        <v>848</v>
      </c>
      <c r="Q139" s="8"/>
      <c r="R139" s="8" t="s">
        <v>52</v>
      </c>
      <c r="S139" s="8" t="s">
        <v>53</v>
      </c>
      <c r="T139" s="8"/>
      <c r="U139" s="8" t="s">
        <v>70</v>
      </c>
      <c r="V139" s="8"/>
      <c r="W139" s="8" t="s">
        <v>54</v>
      </c>
      <c r="X139" s="8"/>
      <c r="Y139" s="8" t="s">
        <v>849</v>
      </c>
      <c r="Z139" s="8"/>
      <c r="AA139" s="8" t="s">
        <v>56</v>
      </c>
      <c r="AB139" s="8"/>
      <c r="AC139" s="8"/>
      <c r="AD139" s="8" t="s">
        <v>850</v>
      </c>
      <c r="AE139" s="8" t="s">
        <v>154</v>
      </c>
      <c r="AF139" s="5">
        <v>46093</v>
      </c>
      <c r="AG139" s="5">
        <v>46104</v>
      </c>
      <c r="AH139" s="5" t="s">
        <v>73</v>
      </c>
      <c r="AI139" s="8"/>
      <c r="AJ139" s="8" t="s">
        <v>851</v>
      </c>
      <c r="AK139" s="8" t="s">
        <v>852</v>
      </c>
      <c r="AL139" s="8" t="s">
        <v>207</v>
      </c>
      <c r="AM139" s="8" t="s">
        <v>77</v>
      </c>
      <c r="AN139" s="8" t="s">
        <v>77</v>
      </c>
      <c r="AO139" s="8"/>
    </row>
    <row r="140" spans="1:41" ht="28.5" hidden="1">
      <c r="A140" s="7" t="s">
        <v>853</v>
      </c>
      <c r="B140" s="5">
        <v>46055</v>
      </c>
      <c r="C140" s="17">
        <f ca="1">IF(B140="","",IF(OR(TRIM(R140)="En curso",TRIM(R140)="En proceso de ingreso"),TODAY()-B140,"Cerrada"))</f>
        <v>85</v>
      </c>
      <c r="D140" s="8" t="s">
        <v>144</v>
      </c>
      <c r="E140" s="8" t="s">
        <v>43</v>
      </c>
      <c r="F140" s="8"/>
      <c r="G140" s="8"/>
      <c r="H140" s="8"/>
      <c r="I140" s="8"/>
      <c r="J140" s="8" t="s">
        <v>145</v>
      </c>
      <c r="K140" s="8" t="s">
        <v>146</v>
      </c>
      <c r="L140" s="8" t="s">
        <v>222</v>
      </c>
      <c r="M140" s="8" t="s">
        <v>199</v>
      </c>
      <c r="N140" s="8" t="s">
        <v>223</v>
      </c>
      <c r="O140" s="8" t="s">
        <v>433</v>
      </c>
      <c r="P140" s="8" t="s">
        <v>606</v>
      </c>
      <c r="Q140" s="8"/>
      <c r="R140" s="8" t="s">
        <v>743</v>
      </c>
      <c r="S140" s="8" t="s">
        <v>854</v>
      </c>
      <c r="T140" s="5">
        <v>46146</v>
      </c>
      <c r="U140" s="8" t="s">
        <v>69</v>
      </c>
      <c r="V140" s="8" t="s">
        <v>139</v>
      </c>
      <c r="W140" s="8" t="s">
        <v>54</v>
      </c>
      <c r="X140" s="8">
        <v>167700</v>
      </c>
      <c r="Y140" s="8" t="s">
        <v>855</v>
      </c>
      <c r="Z140" s="8"/>
      <c r="AA140" s="8" t="s">
        <v>56</v>
      </c>
      <c r="AB140" s="8"/>
      <c r="AC140" s="8"/>
      <c r="AD140" s="8" t="s">
        <v>856</v>
      </c>
      <c r="AE140" s="8" t="s">
        <v>154</v>
      </c>
      <c r="AF140" s="5">
        <v>46132</v>
      </c>
      <c r="AG140" s="5">
        <v>46146</v>
      </c>
      <c r="AH140" s="5"/>
      <c r="AI140" s="8"/>
      <c r="AJ140" s="8" t="s">
        <v>857</v>
      </c>
      <c r="AK140" s="8" t="s">
        <v>858</v>
      </c>
      <c r="AL140" s="8" t="s">
        <v>207</v>
      </c>
      <c r="AM140" s="8"/>
      <c r="AN140" s="8"/>
      <c r="AO140" s="8" t="s">
        <v>769</v>
      </c>
    </row>
    <row r="141" spans="1:41" hidden="1">
      <c r="A141" s="7" t="s">
        <v>859</v>
      </c>
      <c r="B141" s="12">
        <v>46055</v>
      </c>
      <c r="C141" s="17" t="str">
        <f ca="1">IF(B141="","",IF(OR(TRIM(R141)="En curso",TRIM(R141)="En proceso de ingreso"),TODAY()-B141,"Cerrada"))</f>
        <v>Cerrada</v>
      </c>
      <c r="D141" s="8" t="s">
        <v>42</v>
      </c>
      <c r="E141" s="8" t="s">
        <v>132</v>
      </c>
      <c r="F141" s="8"/>
      <c r="G141" s="8"/>
      <c r="H141" s="8"/>
      <c r="I141" s="8"/>
      <c r="J141" s="8" t="s">
        <v>190</v>
      </c>
      <c r="K141" s="8"/>
      <c r="L141" s="14" t="s">
        <v>860</v>
      </c>
      <c r="M141" s="14" t="s">
        <v>161</v>
      </c>
      <c r="N141" s="14" t="s">
        <v>170</v>
      </c>
      <c r="O141" s="8" t="s">
        <v>861</v>
      </c>
      <c r="P141" s="14" t="s">
        <v>862</v>
      </c>
      <c r="Q141" s="8"/>
      <c r="R141" s="8" t="s">
        <v>754</v>
      </c>
      <c r="S141" s="8" t="s">
        <v>754</v>
      </c>
      <c r="T141" s="8"/>
      <c r="U141" s="8"/>
      <c r="V141" s="8"/>
      <c r="W141" s="8" t="s">
        <v>54</v>
      </c>
      <c r="X141" s="8"/>
      <c r="Y141" s="14" t="s">
        <v>863</v>
      </c>
      <c r="Z141" s="8"/>
      <c r="AA141" s="8" t="s">
        <v>56</v>
      </c>
      <c r="AB141" s="8"/>
      <c r="AC141" s="8"/>
      <c r="AD141" s="8"/>
      <c r="AE141" s="8"/>
      <c r="AF141" s="8"/>
      <c r="AG141" s="8"/>
      <c r="AH141" s="5"/>
      <c r="AI141" s="8"/>
      <c r="AJ141" s="8"/>
      <c r="AK141" s="8"/>
      <c r="AL141" s="8"/>
      <c r="AM141" s="8"/>
      <c r="AN141" s="8"/>
      <c r="AO141" s="13"/>
    </row>
    <row r="142" spans="1:41" hidden="1">
      <c r="A142" s="7" t="s">
        <v>864</v>
      </c>
      <c r="B142" s="12">
        <v>46055</v>
      </c>
      <c r="C142" s="17" t="str">
        <f ca="1">IF(B142="","",IF(OR(TRIM(R142)="En curso",TRIM(R142)="En proceso de ingreso"),TODAY()-B142,"Cerrada"))</f>
        <v>Cerrada</v>
      </c>
      <c r="D142" s="8" t="s">
        <v>42</v>
      </c>
      <c r="E142" s="8" t="s">
        <v>132</v>
      </c>
      <c r="F142" s="8"/>
      <c r="G142" s="8"/>
      <c r="H142" s="8"/>
      <c r="I142" s="8"/>
      <c r="J142" s="8" t="s">
        <v>180</v>
      </c>
      <c r="K142" s="8"/>
      <c r="L142" s="13" t="s">
        <v>865</v>
      </c>
      <c r="M142" s="13" t="s">
        <v>161</v>
      </c>
      <c r="N142" s="8" t="s">
        <v>170</v>
      </c>
      <c r="O142" s="8" t="s">
        <v>865</v>
      </c>
      <c r="P142" s="13" t="s">
        <v>862</v>
      </c>
      <c r="Q142" s="8"/>
      <c r="R142" s="8" t="s">
        <v>754</v>
      </c>
      <c r="S142" s="8" t="s">
        <v>754</v>
      </c>
      <c r="T142" s="8"/>
      <c r="U142" s="8"/>
      <c r="V142" s="8"/>
      <c r="W142" s="8" t="s">
        <v>54</v>
      </c>
      <c r="X142" s="8"/>
      <c r="Y142" s="14" t="s">
        <v>866</v>
      </c>
      <c r="Z142" s="8"/>
      <c r="AA142" s="8" t="s">
        <v>56</v>
      </c>
      <c r="AB142" s="8"/>
      <c r="AC142" s="8"/>
      <c r="AD142" s="8"/>
      <c r="AE142" s="8"/>
      <c r="AF142" s="8"/>
      <c r="AG142" s="8"/>
      <c r="AH142" s="5"/>
      <c r="AI142" s="8"/>
      <c r="AJ142" s="8"/>
      <c r="AK142" s="8"/>
      <c r="AL142" s="8"/>
      <c r="AM142" s="8"/>
      <c r="AN142" s="8"/>
      <c r="AO142" s="13"/>
    </row>
    <row r="143" spans="1:41" hidden="1">
      <c r="A143" s="7" t="s">
        <v>867</v>
      </c>
      <c r="B143" s="12">
        <v>46055</v>
      </c>
      <c r="C143" s="17" t="str">
        <f ca="1">IF(B143="","",IF(OR(TRIM(R143)="En curso",TRIM(R143)="En proceso de ingreso"),TODAY()-B143,"Cerrada"))</f>
        <v>Cerrada</v>
      </c>
      <c r="D143" s="8" t="s">
        <v>42</v>
      </c>
      <c r="E143" s="8" t="s">
        <v>132</v>
      </c>
      <c r="F143" s="8"/>
      <c r="G143" s="8"/>
      <c r="H143" s="8"/>
      <c r="I143" s="8"/>
      <c r="J143" s="8" t="s">
        <v>180</v>
      </c>
      <c r="K143" s="8"/>
      <c r="L143" s="13" t="s">
        <v>860</v>
      </c>
      <c r="M143" s="13" t="s">
        <v>161</v>
      </c>
      <c r="N143" s="13" t="s">
        <v>170</v>
      </c>
      <c r="O143" s="8" t="s">
        <v>861</v>
      </c>
      <c r="P143" s="13" t="s">
        <v>862</v>
      </c>
      <c r="Q143" s="8"/>
      <c r="R143" s="8" t="s">
        <v>754</v>
      </c>
      <c r="S143" s="8" t="s">
        <v>754</v>
      </c>
      <c r="T143" s="8"/>
      <c r="U143" s="8"/>
      <c r="V143" s="8"/>
      <c r="W143" s="8" t="s">
        <v>54</v>
      </c>
      <c r="X143" s="8"/>
      <c r="Y143" s="14" t="s">
        <v>868</v>
      </c>
      <c r="Z143" s="8"/>
      <c r="AA143" s="8" t="s">
        <v>56</v>
      </c>
      <c r="AB143" s="8"/>
      <c r="AC143" s="8"/>
      <c r="AD143" s="8"/>
      <c r="AE143" s="8"/>
      <c r="AF143" s="8"/>
      <c r="AG143" s="8"/>
      <c r="AH143" s="5"/>
      <c r="AI143" s="8"/>
      <c r="AJ143" s="8"/>
      <c r="AK143" s="8"/>
      <c r="AL143" s="8"/>
      <c r="AM143" s="8"/>
      <c r="AN143" s="8"/>
      <c r="AO143" s="13"/>
    </row>
    <row r="144" spans="1:41" hidden="1">
      <c r="A144" s="7" t="s">
        <v>869</v>
      </c>
      <c r="B144" s="12">
        <v>46055</v>
      </c>
      <c r="C144" s="17" t="str">
        <f ca="1">IF(B144="","",IF(OR(TRIM(R144)="En curso",TRIM(R144)="En proceso de ingreso"),TODAY()-B144,"Cerrada"))</f>
        <v>Cerrada</v>
      </c>
      <c r="D144" s="8" t="s">
        <v>42</v>
      </c>
      <c r="E144" s="8" t="s">
        <v>132</v>
      </c>
      <c r="F144" s="8"/>
      <c r="G144" s="8"/>
      <c r="H144" s="8"/>
      <c r="I144" s="8"/>
      <c r="J144" s="8" t="s">
        <v>180</v>
      </c>
      <c r="K144" s="8"/>
      <c r="L144" s="13" t="s">
        <v>860</v>
      </c>
      <c r="M144" s="13" t="s">
        <v>161</v>
      </c>
      <c r="N144" s="13" t="s">
        <v>170</v>
      </c>
      <c r="O144" s="8" t="s">
        <v>861</v>
      </c>
      <c r="P144" s="13" t="s">
        <v>862</v>
      </c>
      <c r="Q144" s="8"/>
      <c r="R144" s="8" t="s">
        <v>754</v>
      </c>
      <c r="S144" s="8" t="s">
        <v>754</v>
      </c>
      <c r="T144" s="8"/>
      <c r="U144" s="8"/>
      <c r="V144" s="8"/>
      <c r="W144" s="8" t="s">
        <v>54</v>
      </c>
      <c r="X144" s="8"/>
      <c r="Y144" s="14" t="s">
        <v>870</v>
      </c>
      <c r="Z144" s="8"/>
      <c r="AA144" s="8" t="s">
        <v>56</v>
      </c>
      <c r="AB144" s="8"/>
      <c r="AC144" s="8"/>
      <c r="AD144" s="8"/>
      <c r="AE144" s="8"/>
      <c r="AF144" s="8"/>
      <c r="AG144" s="8"/>
      <c r="AH144" s="5"/>
      <c r="AI144" s="8"/>
      <c r="AJ144" s="8"/>
      <c r="AK144" s="8"/>
      <c r="AL144" s="8"/>
      <c r="AM144" s="8"/>
      <c r="AN144" s="8"/>
      <c r="AO144" s="13"/>
    </row>
    <row r="145" spans="1:41" ht="28.5">
      <c r="A145" s="7" t="s">
        <v>871</v>
      </c>
      <c r="B145" s="5">
        <v>46056</v>
      </c>
      <c r="C145" s="17" t="str">
        <f ca="1">IF(B145="","",IF(OR(TRIM(R145)="En curso",TRIM(R145)="En proceso de ingreso"),TODAY()-B145,"Cerrada"))</f>
        <v>Cerrada</v>
      </c>
      <c r="D145" s="8" t="s">
        <v>42</v>
      </c>
      <c r="E145" s="8" t="s">
        <v>43</v>
      </c>
      <c r="F145" s="8"/>
      <c r="G145" s="8"/>
      <c r="H145" s="8"/>
      <c r="I145" s="8"/>
      <c r="J145" s="8" t="s">
        <v>45</v>
      </c>
      <c r="K145" s="8" t="s">
        <v>91</v>
      </c>
      <c r="L145" s="8" t="s">
        <v>47</v>
      </c>
      <c r="M145" s="8" t="s">
        <v>48</v>
      </c>
      <c r="N145" s="8" t="s">
        <v>49</v>
      </c>
      <c r="O145" s="8" t="s">
        <v>50</v>
      </c>
      <c r="P145" s="8" t="s">
        <v>51</v>
      </c>
      <c r="Q145" s="8" t="s">
        <v>101</v>
      </c>
      <c r="R145" s="8" t="s">
        <v>52</v>
      </c>
      <c r="S145" s="8" t="s">
        <v>53</v>
      </c>
      <c r="T145" s="5">
        <v>46100</v>
      </c>
      <c r="U145" s="8" t="s">
        <v>69</v>
      </c>
      <c r="V145" s="8" t="s">
        <v>70</v>
      </c>
      <c r="W145" s="8" t="s">
        <v>54</v>
      </c>
      <c r="X145" s="8"/>
      <c r="Y145" s="8" t="s">
        <v>872</v>
      </c>
      <c r="Z145" s="8"/>
      <c r="AA145" s="8" t="s">
        <v>56</v>
      </c>
      <c r="AB145" s="8"/>
      <c r="AC145" s="8"/>
      <c r="AD145" s="8" t="s">
        <v>93</v>
      </c>
      <c r="AE145" s="8" t="s">
        <v>94</v>
      </c>
      <c r="AF145" s="5">
        <v>46097</v>
      </c>
      <c r="AG145" s="5">
        <v>46100</v>
      </c>
      <c r="AH145" s="5" t="s">
        <v>73</v>
      </c>
      <c r="AI145" s="8" t="s">
        <v>74</v>
      </c>
      <c r="AJ145" s="8" t="s">
        <v>873</v>
      </c>
      <c r="AK145" s="8" t="s">
        <v>96</v>
      </c>
      <c r="AL145" s="8" t="s">
        <v>97</v>
      </c>
      <c r="AM145" s="8" t="s">
        <v>77</v>
      </c>
      <c r="AN145" s="8"/>
      <c r="AO145" s="8"/>
    </row>
    <row r="146" spans="1:41" hidden="1">
      <c r="A146" s="7" t="s">
        <v>874</v>
      </c>
      <c r="B146" s="5">
        <v>46057</v>
      </c>
      <c r="C146" s="17" t="str">
        <f ca="1">IF(B146="","",IF(OR(TRIM(R146)="En curso",TRIM(R146)="En proceso de ingreso"),TODAY()-B146,"Cerrada"))</f>
        <v>Cerrada</v>
      </c>
      <c r="D146" s="8" t="s">
        <v>467</v>
      </c>
      <c r="E146" s="8" t="s">
        <v>43</v>
      </c>
      <c r="F146" s="8"/>
      <c r="G146" s="8"/>
      <c r="H146" s="8"/>
      <c r="I146" s="8"/>
      <c r="J146" s="8" t="s">
        <v>180</v>
      </c>
      <c r="K146" s="8"/>
      <c r="L146" s="8" t="s">
        <v>875</v>
      </c>
      <c r="M146" s="8" t="s">
        <v>161</v>
      </c>
      <c r="N146" s="8" t="s">
        <v>469</v>
      </c>
      <c r="O146" s="8" t="s">
        <v>876</v>
      </c>
      <c r="P146" s="8" t="s">
        <v>877</v>
      </c>
      <c r="Q146" s="8"/>
      <c r="R146" s="8" t="s">
        <v>754</v>
      </c>
      <c r="S146" s="8" t="s">
        <v>754</v>
      </c>
      <c r="T146" s="8"/>
      <c r="U146" s="8" t="s">
        <v>138</v>
      </c>
      <c r="V146" s="8" t="s">
        <v>139</v>
      </c>
      <c r="W146" s="8" t="s">
        <v>63</v>
      </c>
      <c r="X146" s="8"/>
      <c r="Y146" s="8"/>
      <c r="Z146" s="8"/>
      <c r="AA146" s="8" t="s">
        <v>56</v>
      </c>
      <c r="AB146" s="8"/>
      <c r="AC146" s="8"/>
      <c r="AD146" s="8"/>
      <c r="AE146" s="8"/>
      <c r="AF146" s="8"/>
      <c r="AG146" s="8"/>
      <c r="AH146" s="5"/>
      <c r="AI146" s="8"/>
      <c r="AJ146" s="8"/>
      <c r="AK146" s="8"/>
      <c r="AL146" s="8"/>
      <c r="AM146" s="8"/>
      <c r="AN146" s="8"/>
      <c r="AO146" s="8"/>
    </row>
    <row r="147" spans="1:41" hidden="1">
      <c r="A147" s="7" t="s">
        <v>878</v>
      </c>
      <c r="B147" s="5">
        <v>46057</v>
      </c>
      <c r="C147" s="17" t="str">
        <f ca="1">IF(B147="","",IF(OR(TRIM(R147)="En curso",TRIM(R147)="En proceso de ingreso"),TODAY()-B147,"Cerrada"))</f>
        <v>Cerrada</v>
      </c>
      <c r="D147" s="8" t="s">
        <v>467</v>
      </c>
      <c r="E147" s="8" t="s">
        <v>43</v>
      </c>
      <c r="F147" s="8"/>
      <c r="G147" s="8"/>
      <c r="H147" s="8"/>
      <c r="I147" s="8"/>
      <c r="J147" s="8" t="s">
        <v>180</v>
      </c>
      <c r="K147" s="8"/>
      <c r="L147" s="8" t="s">
        <v>875</v>
      </c>
      <c r="M147" s="8" t="s">
        <v>161</v>
      </c>
      <c r="N147" s="8" t="s">
        <v>238</v>
      </c>
      <c r="O147" s="8" t="s">
        <v>879</v>
      </c>
      <c r="P147" s="8" t="s">
        <v>877</v>
      </c>
      <c r="Q147" s="8"/>
      <c r="R147" s="8" t="s">
        <v>754</v>
      </c>
      <c r="S147" s="8" t="s">
        <v>754</v>
      </c>
      <c r="T147" s="8"/>
      <c r="U147" s="8" t="s">
        <v>70</v>
      </c>
      <c r="V147" s="8" t="s">
        <v>139</v>
      </c>
      <c r="W147" s="8" t="s">
        <v>54</v>
      </c>
      <c r="X147" s="8"/>
      <c r="Y147" s="8" t="s">
        <v>880</v>
      </c>
      <c r="Z147" s="8"/>
      <c r="AA147" s="8" t="s">
        <v>56</v>
      </c>
      <c r="AB147" s="8"/>
      <c r="AC147" s="8"/>
      <c r="AD147" s="8"/>
      <c r="AE147" s="8"/>
      <c r="AF147" s="8"/>
      <c r="AG147" s="8"/>
      <c r="AH147" s="5"/>
      <c r="AI147" s="8"/>
      <c r="AJ147" s="8"/>
      <c r="AK147" s="8"/>
      <c r="AL147" s="8"/>
      <c r="AM147" s="8"/>
      <c r="AN147" s="8"/>
      <c r="AO147" s="8"/>
    </row>
    <row r="148" spans="1:41" ht="28.5">
      <c r="A148" s="7" t="s">
        <v>881</v>
      </c>
      <c r="B148" s="5">
        <v>46058</v>
      </c>
      <c r="C148" s="17" t="str">
        <f ca="1">IF(B148="","",IF(OR(TRIM(R148)="En curso",TRIM(R148)="En proceso de ingreso"),TODAY()-B148,"Cerrada"))</f>
        <v>Cerrada</v>
      </c>
      <c r="D148" s="8" t="s">
        <v>144</v>
      </c>
      <c r="E148" s="8" t="s">
        <v>43</v>
      </c>
      <c r="F148" s="8"/>
      <c r="G148" s="8"/>
      <c r="H148" s="8"/>
      <c r="I148" s="8"/>
      <c r="J148" s="8" t="s">
        <v>145</v>
      </c>
      <c r="K148" s="8" t="s">
        <v>146</v>
      </c>
      <c r="L148" s="8" t="s">
        <v>198</v>
      </c>
      <c r="M148" s="8" t="s">
        <v>199</v>
      </c>
      <c r="N148" s="8" t="s">
        <v>200</v>
      </c>
      <c r="O148" s="8" t="s">
        <v>201</v>
      </c>
      <c r="P148" s="8" t="s">
        <v>202</v>
      </c>
      <c r="Q148" s="8"/>
      <c r="R148" s="8" t="s">
        <v>52</v>
      </c>
      <c r="S148" s="8" t="s">
        <v>53</v>
      </c>
      <c r="T148" s="8"/>
      <c r="U148" s="8"/>
      <c r="V148" s="8"/>
      <c r="W148" s="8" t="s">
        <v>54</v>
      </c>
      <c r="X148" s="8"/>
      <c r="Y148" s="8" t="s">
        <v>882</v>
      </c>
      <c r="Z148" s="8"/>
      <c r="AA148" s="8" t="s">
        <v>173</v>
      </c>
      <c r="AB148" s="8"/>
      <c r="AC148" s="8"/>
      <c r="AD148" s="8" t="s">
        <v>883</v>
      </c>
      <c r="AE148" s="8" t="s">
        <v>154</v>
      </c>
      <c r="AF148" s="5">
        <v>46072</v>
      </c>
      <c r="AG148" s="5">
        <v>46076</v>
      </c>
      <c r="AH148" s="5"/>
      <c r="AI148" s="8"/>
      <c r="AJ148" s="8" t="s">
        <v>884</v>
      </c>
      <c r="AK148" s="8" t="s">
        <v>575</v>
      </c>
      <c r="AL148" s="8" t="s">
        <v>207</v>
      </c>
      <c r="AM148" s="8" t="s">
        <v>77</v>
      </c>
      <c r="AN148" s="8"/>
      <c r="AO148" s="8"/>
    </row>
    <row r="149" spans="1:41" ht="28.5">
      <c r="A149" s="7" t="s">
        <v>885</v>
      </c>
      <c r="B149" s="5">
        <v>46058</v>
      </c>
      <c r="C149" s="17" t="str">
        <f ca="1">IF(B149="","",IF(OR(TRIM(R149)="En curso",TRIM(R149)="En proceso de ingreso"),TODAY()-B149,"Cerrada"))</f>
        <v>Cerrada</v>
      </c>
      <c r="D149" s="8" t="s">
        <v>144</v>
      </c>
      <c r="E149" s="8" t="s">
        <v>43</v>
      </c>
      <c r="F149" s="8"/>
      <c r="G149" s="8"/>
      <c r="H149" s="8"/>
      <c r="I149" s="8"/>
      <c r="J149" s="8" t="s">
        <v>145</v>
      </c>
      <c r="K149" s="8" t="s">
        <v>146</v>
      </c>
      <c r="L149" s="8" t="s">
        <v>222</v>
      </c>
      <c r="M149" s="8" t="s">
        <v>212</v>
      </c>
      <c r="N149" s="8" t="s">
        <v>223</v>
      </c>
      <c r="O149" s="8" t="s">
        <v>224</v>
      </c>
      <c r="P149" s="8" t="s">
        <v>225</v>
      </c>
      <c r="Q149" s="8"/>
      <c r="R149" s="8" t="s">
        <v>52</v>
      </c>
      <c r="S149" s="8" t="s">
        <v>53</v>
      </c>
      <c r="T149" s="8"/>
      <c r="U149" s="8"/>
      <c r="V149" s="8"/>
      <c r="W149" s="8" t="s">
        <v>54</v>
      </c>
      <c r="X149" s="8"/>
      <c r="Y149" s="8" t="s">
        <v>886</v>
      </c>
      <c r="Z149" s="8"/>
      <c r="AA149" s="8" t="s">
        <v>152</v>
      </c>
      <c r="AB149" s="8"/>
      <c r="AC149" s="8"/>
      <c r="AD149" s="8" t="s">
        <v>521</v>
      </c>
      <c r="AE149" s="8" t="s">
        <v>154</v>
      </c>
      <c r="AF149" s="5">
        <v>46072</v>
      </c>
      <c r="AG149" s="5">
        <v>46076</v>
      </c>
      <c r="AH149" s="5"/>
      <c r="AI149" s="8"/>
      <c r="AJ149" s="8" t="s">
        <v>887</v>
      </c>
      <c r="AK149" s="8" t="s">
        <v>403</v>
      </c>
      <c r="AL149" s="8" t="s">
        <v>207</v>
      </c>
      <c r="AM149" s="8" t="s">
        <v>77</v>
      </c>
      <c r="AN149" s="8"/>
      <c r="AO149" s="8"/>
    </row>
    <row r="150" spans="1:41" ht="28.5">
      <c r="A150" s="7" t="s">
        <v>888</v>
      </c>
      <c r="B150" s="5">
        <v>46059</v>
      </c>
      <c r="C150" s="17" t="str">
        <f ca="1">IF(B150="","",IF(OR(TRIM(R150)="En curso",TRIM(R150)="En proceso de ingreso"),TODAY()-B150,"Cerrada"))</f>
        <v>Cerrada</v>
      </c>
      <c r="D150" s="8" t="s">
        <v>144</v>
      </c>
      <c r="E150" s="8" t="s">
        <v>43</v>
      </c>
      <c r="F150" s="8"/>
      <c r="G150" s="8"/>
      <c r="H150" s="8"/>
      <c r="I150" s="8"/>
      <c r="J150" s="8" t="s">
        <v>145</v>
      </c>
      <c r="K150" s="8"/>
      <c r="L150" s="8" t="s">
        <v>198</v>
      </c>
      <c r="M150" s="8" t="s">
        <v>199</v>
      </c>
      <c r="N150" s="8" t="s">
        <v>200</v>
      </c>
      <c r="O150" s="8" t="s">
        <v>201</v>
      </c>
      <c r="P150" s="8" t="s">
        <v>202</v>
      </c>
      <c r="Q150" s="8"/>
      <c r="R150" s="8" t="s">
        <v>52</v>
      </c>
      <c r="S150" s="8" t="s">
        <v>53</v>
      </c>
      <c r="T150" s="8"/>
      <c r="U150" s="8" t="s">
        <v>69</v>
      </c>
      <c r="V150" s="8" t="s">
        <v>70</v>
      </c>
      <c r="W150" s="8" t="s">
        <v>54</v>
      </c>
      <c r="X150" s="8"/>
      <c r="Y150" s="8" t="s">
        <v>889</v>
      </c>
      <c r="Z150" s="8"/>
      <c r="AA150" s="8" t="s">
        <v>56</v>
      </c>
      <c r="AB150" s="8"/>
      <c r="AC150" s="8"/>
      <c r="AD150" s="8" t="s">
        <v>521</v>
      </c>
      <c r="AE150" s="8" t="s">
        <v>154</v>
      </c>
      <c r="AF150" s="5">
        <v>46104</v>
      </c>
      <c r="AG150" s="5">
        <v>46120</v>
      </c>
      <c r="AH150" s="5"/>
      <c r="AI150" s="8"/>
      <c r="AJ150" s="8" t="s">
        <v>890</v>
      </c>
      <c r="AK150" s="8" t="s">
        <v>575</v>
      </c>
      <c r="AL150" s="8" t="s">
        <v>207</v>
      </c>
      <c r="AM150" s="8" t="s">
        <v>77</v>
      </c>
      <c r="AN150" s="8"/>
      <c r="AO150" s="8"/>
    </row>
    <row r="151" spans="1:41" ht="28.5">
      <c r="A151" s="7" t="s">
        <v>891</v>
      </c>
      <c r="B151" s="5">
        <v>46059</v>
      </c>
      <c r="C151" s="17" t="str">
        <f ca="1">IF(B151="","",IF(OR(TRIM(R151)="En curso",TRIM(R151)="En proceso de ingreso"),TODAY()-B151,"Cerrada"))</f>
        <v>Cerrada</v>
      </c>
      <c r="D151" s="8" t="s">
        <v>144</v>
      </c>
      <c r="E151" s="8" t="s">
        <v>43</v>
      </c>
      <c r="F151" s="8"/>
      <c r="G151" s="8"/>
      <c r="H151" s="8"/>
      <c r="I151" s="8"/>
      <c r="J151" s="8" t="s">
        <v>145</v>
      </c>
      <c r="K151" s="8"/>
      <c r="L151" s="8" t="s">
        <v>222</v>
      </c>
      <c r="M151" s="8" t="s">
        <v>199</v>
      </c>
      <c r="N151" s="8" t="s">
        <v>223</v>
      </c>
      <c r="O151" s="8" t="s">
        <v>433</v>
      </c>
      <c r="P151" s="8" t="s">
        <v>606</v>
      </c>
      <c r="Q151" s="8"/>
      <c r="R151" s="8" t="s">
        <v>52</v>
      </c>
      <c r="S151" s="8" t="s">
        <v>53</v>
      </c>
      <c r="T151" s="8"/>
      <c r="U151" s="8" t="s">
        <v>69</v>
      </c>
      <c r="V151" s="8"/>
      <c r="W151" s="8" t="s">
        <v>54</v>
      </c>
      <c r="X151" s="8"/>
      <c r="Y151" s="8" t="s">
        <v>892</v>
      </c>
      <c r="Z151" s="8"/>
      <c r="AA151" s="8" t="s">
        <v>56</v>
      </c>
      <c r="AB151" s="8"/>
      <c r="AC151" s="8"/>
      <c r="AD151" s="8" t="s">
        <v>521</v>
      </c>
      <c r="AE151" s="8" t="s">
        <v>154</v>
      </c>
      <c r="AF151" s="5">
        <v>46092</v>
      </c>
      <c r="AG151" s="5">
        <v>46101</v>
      </c>
      <c r="AH151" s="5"/>
      <c r="AI151" s="8"/>
      <c r="AJ151" s="8" t="s">
        <v>893</v>
      </c>
      <c r="AK151" s="8" t="s">
        <v>826</v>
      </c>
      <c r="AL151" s="8" t="s">
        <v>207</v>
      </c>
      <c r="AM151" s="8" t="s">
        <v>77</v>
      </c>
      <c r="AN151" s="8" t="s">
        <v>77</v>
      </c>
      <c r="AO151" s="8" t="s">
        <v>705</v>
      </c>
    </row>
    <row r="152" spans="1:41" ht="28.5">
      <c r="A152" s="7" t="s">
        <v>894</v>
      </c>
      <c r="B152" s="5">
        <v>46062</v>
      </c>
      <c r="C152" s="17" t="str">
        <f ca="1">IF(B152="","",IF(OR(TRIM(R152)="En curso",TRIM(R152)="En proceso de ingreso"),TODAY()-B152,"Cerrada"))</f>
        <v>Cerrada</v>
      </c>
      <c r="D152" s="8" t="s">
        <v>144</v>
      </c>
      <c r="E152" s="8" t="s">
        <v>43</v>
      </c>
      <c r="F152" s="8"/>
      <c r="G152" s="8"/>
      <c r="H152" s="8"/>
      <c r="I152" s="8"/>
      <c r="J152" s="8" t="s">
        <v>180</v>
      </c>
      <c r="K152" s="8" t="s">
        <v>659</v>
      </c>
      <c r="L152" s="8" t="s">
        <v>332</v>
      </c>
      <c r="M152" s="8" t="s">
        <v>249</v>
      </c>
      <c r="N152" s="8" t="s">
        <v>170</v>
      </c>
      <c r="O152" s="8" t="s">
        <v>660</v>
      </c>
      <c r="P152" s="8" t="s">
        <v>895</v>
      </c>
      <c r="Q152" s="8"/>
      <c r="R152" s="8" t="s">
        <v>52</v>
      </c>
      <c r="S152" s="8" t="s">
        <v>53</v>
      </c>
      <c r="T152" s="8"/>
      <c r="U152" s="8"/>
      <c r="V152" s="8"/>
      <c r="W152" s="8" t="s">
        <v>54</v>
      </c>
      <c r="X152" s="8"/>
      <c r="Y152" s="8" t="s">
        <v>896</v>
      </c>
      <c r="Z152" s="8"/>
      <c r="AA152" s="8" t="s">
        <v>152</v>
      </c>
      <c r="AB152" s="8"/>
      <c r="AC152" s="8"/>
      <c r="AD152" s="8" t="s">
        <v>663</v>
      </c>
      <c r="AE152" s="8" t="s">
        <v>664</v>
      </c>
      <c r="AF152" s="5">
        <v>46072</v>
      </c>
      <c r="AG152" s="5">
        <v>46076</v>
      </c>
      <c r="AH152" s="5"/>
      <c r="AI152" s="8"/>
      <c r="AJ152" s="8" t="s">
        <v>897</v>
      </c>
      <c r="AK152" s="8" t="s">
        <v>666</v>
      </c>
      <c r="AL152" s="8" t="s">
        <v>61</v>
      </c>
      <c r="AM152" s="8" t="s">
        <v>77</v>
      </c>
      <c r="AN152" s="8" t="s">
        <v>77</v>
      </c>
      <c r="AO152" s="8"/>
    </row>
    <row r="153" spans="1:41" ht="28.5">
      <c r="A153" s="7" t="s">
        <v>898</v>
      </c>
      <c r="B153" s="5">
        <v>46062</v>
      </c>
      <c r="C153" s="17" t="str">
        <f ca="1">IF(B153="","",IF(OR(TRIM(R153)="En curso",TRIM(R153)="En proceso de ingreso"),TODAY()-B153,"Cerrada"))</f>
        <v>Cerrada</v>
      </c>
      <c r="D153" s="8" t="s">
        <v>144</v>
      </c>
      <c r="E153" s="8" t="s">
        <v>43</v>
      </c>
      <c r="F153" s="8"/>
      <c r="G153" s="8"/>
      <c r="H153" s="8"/>
      <c r="I153" s="8"/>
      <c r="J153" s="8" t="s">
        <v>145</v>
      </c>
      <c r="K153" s="8"/>
      <c r="L153" s="8" t="s">
        <v>222</v>
      </c>
      <c r="M153" s="8" t="s">
        <v>199</v>
      </c>
      <c r="N153" s="8" t="s">
        <v>108</v>
      </c>
      <c r="O153" s="8" t="s">
        <v>899</v>
      </c>
      <c r="P153" s="8" t="s">
        <v>225</v>
      </c>
      <c r="Q153" s="8"/>
      <c r="R153" s="8" t="s">
        <v>52</v>
      </c>
      <c r="S153" s="8" t="s">
        <v>53</v>
      </c>
      <c r="T153" s="8"/>
      <c r="U153" s="8" t="s">
        <v>70</v>
      </c>
      <c r="V153" s="8"/>
      <c r="W153" s="8" t="s">
        <v>54</v>
      </c>
      <c r="X153" s="8"/>
      <c r="Y153" s="8" t="s">
        <v>900</v>
      </c>
      <c r="Z153" s="8"/>
      <c r="AA153" s="8" t="s">
        <v>56</v>
      </c>
      <c r="AB153" s="8"/>
      <c r="AC153" s="8"/>
      <c r="AD153" s="8"/>
      <c r="AE153" s="8" t="s">
        <v>154</v>
      </c>
      <c r="AF153" s="8"/>
      <c r="AG153" s="5">
        <v>46113</v>
      </c>
      <c r="AH153" s="5" t="s">
        <v>609</v>
      </c>
      <c r="AI153" s="8" t="s">
        <v>901</v>
      </c>
      <c r="AJ153" s="8" t="s">
        <v>902</v>
      </c>
      <c r="AK153" s="8"/>
      <c r="AL153" s="8"/>
      <c r="AM153" s="8"/>
      <c r="AN153" s="8"/>
      <c r="AO153" s="8" t="s">
        <v>903</v>
      </c>
    </row>
    <row r="154" spans="1:41" ht="28.5">
      <c r="A154" s="7" t="s">
        <v>904</v>
      </c>
      <c r="B154" s="5">
        <v>46062</v>
      </c>
      <c r="C154" s="17" t="str">
        <f ca="1">IF(B154="","",IF(OR(TRIM(R154)="En curso",TRIM(R154)="En proceso de ingreso"),TODAY()-B154,"Cerrada"))</f>
        <v>Cerrada</v>
      </c>
      <c r="D154" s="8" t="s">
        <v>42</v>
      </c>
      <c r="E154" s="8" t="s">
        <v>43</v>
      </c>
      <c r="F154" s="8"/>
      <c r="G154" s="8"/>
      <c r="H154" s="8"/>
      <c r="I154" s="8"/>
      <c r="J154" s="8" t="s">
        <v>45</v>
      </c>
      <c r="K154" s="8" t="s">
        <v>91</v>
      </c>
      <c r="L154" s="8" t="s">
        <v>47</v>
      </c>
      <c r="M154" s="8" t="s">
        <v>48</v>
      </c>
      <c r="N154" s="8" t="s">
        <v>49</v>
      </c>
      <c r="O154" s="8" t="s">
        <v>50</v>
      </c>
      <c r="P154" s="8" t="s">
        <v>51</v>
      </c>
      <c r="Q154" s="8" t="s">
        <v>101</v>
      </c>
      <c r="R154" s="8" t="s">
        <v>52</v>
      </c>
      <c r="S154" s="8" t="s">
        <v>53</v>
      </c>
      <c r="T154" s="5">
        <v>46100</v>
      </c>
      <c r="U154" s="8" t="s">
        <v>69</v>
      </c>
      <c r="V154" s="8" t="s">
        <v>70</v>
      </c>
      <c r="W154" s="8" t="s">
        <v>54</v>
      </c>
      <c r="X154" s="8"/>
      <c r="Y154" s="8" t="s">
        <v>905</v>
      </c>
      <c r="Z154" s="8"/>
      <c r="AA154" s="8" t="s">
        <v>56</v>
      </c>
      <c r="AB154" s="8"/>
      <c r="AC154" s="8"/>
      <c r="AD154" s="8" t="s">
        <v>93</v>
      </c>
      <c r="AE154" s="8" t="s">
        <v>94</v>
      </c>
      <c r="AF154" s="5">
        <v>46097</v>
      </c>
      <c r="AG154" s="5">
        <v>46100</v>
      </c>
      <c r="AH154" s="5" t="s">
        <v>73</v>
      </c>
      <c r="AI154" s="8" t="s">
        <v>74</v>
      </c>
      <c r="AJ154" s="8" t="s">
        <v>906</v>
      </c>
      <c r="AK154" s="8" t="s">
        <v>96</v>
      </c>
      <c r="AL154" s="8" t="s">
        <v>97</v>
      </c>
      <c r="AM154" s="8" t="s">
        <v>77</v>
      </c>
      <c r="AN154" s="8"/>
      <c r="AO154" s="8"/>
    </row>
    <row r="155" spans="1:41" hidden="1">
      <c r="A155" s="7" t="s">
        <v>907</v>
      </c>
      <c r="B155" s="5">
        <v>46062</v>
      </c>
      <c r="C155" s="17" t="str">
        <f ca="1">IF(B155="","",IF(OR(TRIM(R155)="En curso",TRIM(R155)="En proceso de ingreso"),TODAY()-B155,"Cerrada"))</f>
        <v>Cerrada</v>
      </c>
      <c r="D155" s="8" t="s">
        <v>467</v>
      </c>
      <c r="E155" s="8" t="s">
        <v>43</v>
      </c>
      <c r="F155" s="8"/>
      <c r="G155" s="8" t="s">
        <v>187</v>
      </c>
      <c r="H155" s="8" t="s">
        <v>187</v>
      </c>
      <c r="I155" s="8"/>
      <c r="J155" s="8" t="s">
        <v>180</v>
      </c>
      <c r="K155" s="8"/>
      <c r="L155" s="8" t="s">
        <v>908</v>
      </c>
      <c r="M155" s="8" t="s">
        <v>909</v>
      </c>
      <c r="N155" s="8" t="s">
        <v>238</v>
      </c>
      <c r="O155" s="8" t="s">
        <v>910</v>
      </c>
      <c r="P155" s="8" t="s">
        <v>911</v>
      </c>
      <c r="Q155" s="8"/>
      <c r="R155" s="8" t="s">
        <v>754</v>
      </c>
      <c r="S155" s="8" t="s">
        <v>754</v>
      </c>
      <c r="T155" s="8"/>
      <c r="U155" s="8"/>
      <c r="V155" s="8"/>
      <c r="W155" s="8" t="s">
        <v>63</v>
      </c>
      <c r="X155" s="8"/>
      <c r="Y155" s="8"/>
      <c r="Z155" s="8"/>
      <c r="AA155" s="8" t="s">
        <v>56</v>
      </c>
      <c r="AB155" s="8"/>
      <c r="AC155" s="8"/>
      <c r="AD155" s="8"/>
      <c r="AE155" s="8"/>
      <c r="AF155" s="8"/>
      <c r="AG155" s="8"/>
      <c r="AH155" s="5"/>
      <c r="AI155" s="8"/>
      <c r="AJ155" s="8"/>
      <c r="AK155" s="8"/>
      <c r="AL155" s="8"/>
      <c r="AM155" s="8"/>
      <c r="AN155" s="8"/>
      <c r="AO155" s="8"/>
    </row>
    <row r="156" spans="1:41" ht="28.5">
      <c r="A156" s="7" t="s">
        <v>912</v>
      </c>
      <c r="B156" s="5">
        <v>46064</v>
      </c>
      <c r="C156" s="17" t="str">
        <f ca="1">IF(B156="","",IF(OR(TRIM(R156)="En curso",TRIM(R156)="En proceso de ingreso"),TODAY()-B156,"Cerrada"))</f>
        <v>Cerrada</v>
      </c>
      <c r="D156" s="8" t="s">
        <v>42</v>
      </c>
      <c r="E156" s="8" t="s">
        <v>43</v>
      </c>
      <c r="F156" s="8"/>
      <c r="G156" s="8" t="s">
        <v>44</v>
      </c>
      <c r="H156" s="8"/>
      <c r="I156" s="8"/>
      <c r="J156" s="8" t="s">
        <v>320</v>
      </c>
      <c r="K156" s="8"/>
      <c r="L156" s="8" t="s">
        <v>913</v>
      </c>
      <c r="M156" s="8" t="s">
        <v>322</v>
      </c>
      <c r="N156" s="8" t="s">
        <v>170</v>
      </c>
      <c r="O156" s="8" t="s">
        <v>526</v>
      </c>
      <c r="P156" s="8" t="s">
        <v>914</v>
      </c>
      <c r="Q156" s="8"/>
      <c r="R156" s="8" t="s">
        <v>52</v>
      </c>
      <c r="S156" s="8" t="s">
        <v>53</v>
      </c>
      <c r="T156" s="5">
        <v>46118</v>
      </c>
      <c r="U156" s="8" t="s">
        <v>69</v>
      </c>
      <c r="V156" s="8" t="s">
        <v>70</v>
      </c>
      <c r="W156" s="8" t="s">
        <v>54</v>
      </c>
      <c r="X156" s="8"/>
      <c r="Y156" s="8" t="s">
        <v>915</v>
      </c>
      <c r="Z156" s="8"/>
      <c r="AA156" s="8" t="s">
        <v>56</v>
      </c>
      <c r="AB156" s="8"/>
      <c r="AC156" s="8"/>
      <c r="AD156" s="8" t="s">
        <v>916</v>
      </c>
      <c r="AE156" s="8" t="s">
        <v>530</v>
      </c>
      <c r="AF156" s="5">
        <v>46097</v>
      </c>
      <c r="AG156" s="5">
        <v>46118</v>
      </c>
      <c r="AH156" s="5" t="s">
        <v>73</v>
      </c>
      <c r="AI156" s="8"/>
      <c r="AJ156" s="8" t="s">
        <v>917</v>
      </c>
      <c r="AK156" s="8" t="s">
        <v>918</v>
      </c>
      <c r="AL156" s="8" t="s">
        <v>919</v>
      </c>
      <c r="AM156" s="8" t="s">
        <v>77</v>
      </c>
      <c r="AN156" s="8" t="s">
        <v>77</v>
      </c>
      <c r="AO156" s="8" t="s">
        <v>920</v>
      </c>
    </row>
    <row r="157" spans="1:41" ht="28.5">
      <c r="A157" s="7" t="s">
        <v>921</v>
      </c>
      <c r="B157" s="5">
        <v>46064</v>
      </c>
      <c r="C157" s="17" t="str">
        <f ca="1">IF(B157="","",IF(OR(TRIM(R157)="En curso",TRIM(R157)="En proceso de ingreso"),TODAY()-B157,"Cerrada"))</f>
        <v>Cerrada</v>
      </c>
      <c r="D157" s="8" t="s">
        <v>144</v>
      </c>
      <c r="E157" s="8" t="s">
        <v>43</v>
      </c>
      <c r="F157" s="8"/>
      <c r="G157" s="8"/>
      <c r="H157" s="8"/>
      <c r="I157" s="8"/>
      <c r="J157" s="8" t="s">
        <v>145</v>
      </c>
      <c r="K157" s="8" t="s">
        <v>146</v>
      </c>
      <c r="L157" s="8" t="s">
        <v>198</v>
      </c>
      <c r="M157" s="8" t="s">
        <v>199</v>
      </c>
      <c r="N157" s="8" t="s">
        <v>200</v>
      </c>
      <c r="O157" s="8" t="s">
        <v>201</v>
      </c>
      <c r="P157" s="8" t="s">
        <v>202</v>
      </c>
      <c r="Q157" s="8"/>
      <c r="R157" s="8" t="s">
        <v>52</v>
      </c>
      <c r="S157" s="8" t="s">
        <v>53</v>
      </c>
      <c r="T157" s="8"/>
      <c r="U157" s="8" t="s">
        <v>69</v>
      </c>
      <c r="V157" s="8"/>
      <c r="W157" s="8" t="s">
        <v>54</v>
      </c>
      <c r="X157" s="8"/>
      <c r="Y157" s="8" t="s">
        <v>922</v>
      </c>
      <c r="Z157" s="8"/>
      <c r="AA157" s="8" t="s">
        <v>56</v>
      </c>
      <c r="AB157" s="8"/>
      <c r="AC157" s="8"/>
      <c r="AD157" s="8" t="s">
        <v>923</v>
      </c>
      <c r="AE157" s="8" t="s">
        <v>154</v>
      </c>
      <c r="AF157" s="5">
        <v>46104</v>
      </c>
      <c r="AG157" s="5">
        <v>46120</v>
      </c>
      <c r="AH157" s="5"/>
      <c r="AI157" s="8"/>
      <c r="AJ157" s="8" t="s">
        <v>924</v>
      </c>
      <c r="AK157" s="8" t="s">
        <v>925</v>
      </c>
      <c r="AL157" s="8" t="s">
        <v>207</v>
      </c>
      <c r="AM157" s="8" t="s">
        <v>77</v>
      </c>
      <c r="AN157" s="8" t="s">
        <v>77</v>
      </c>
      <c r="AO157" s="8"/>
    </row>
    <row r="158" spans="1:41" ht="28.5">
      <c r="A158" s="7" t="s">
        <v>926</v>
      </c>
      <c r="B158" s="5">
        <v>46064</v>
      </c>
      <c r="C158" s="17" t="str">
        <f ca="1">IF(B158="","",IF(OR(TRIM(R158)="En curso",TRIM(R158)="En proceso de ingreso"),TODAY()-B158,"Cerrada"))</f>
        <v>Cerrada</v>
      </c>
      <c r="D158" s="8" t="s">
        <v>144</v>
      </c>
      <c r="E158" s="8" t="s">
        <v>43</v>
      </c>
      <c r="F158" s="8"/>
      <c r="G158" s="8"/>
      <c r="H158" s="8"/>
      <c r="I158" s="8"/>
      <c r="J158" s="8" t="s">
        <v>145</v>
      </c>
      <c r="K158" s="8" t="s">
        <v>146</v>
      </c>
      <c r="L158" s="8" t="s">
        <v>293</v>
      </c>
      <c r="M158" s="8" t="s">
        <v>294</v>
      </c>
      <c r="N158" s="8" t="s">
        <v>170</v>
      </c>
      <c r="O158" s="8" t="s">
        <v>818</v>
      </c>
      <c r="P158" s="8" t="s">
        <v>296</v>
      </c>
      <c r="Q158" s="8"/>
      <c r="R158" s="8" t="s">
        <v>52</v>
      </c>
      <c r="S158" s="8" t="s">
        <v>53</v>
      </c>
      <c r="T158" s="8"/>
      <c r="U158" s="8" t="s">
        <v>69</v>
      </c>
      <c r="V158" s="8" t="s">
        <v>70</v>
      </c>
      <c r="W158" s="8" t="s">
        <v>54</v>
      </c>
      <c r="X158" s="8"/>
      <c r="Y158" s="8" t="s">
        <v>927</v>
      </c>
      <c r="Z158" s="8"/>
      <c r="AA158" s="8" t="s">
        <v>56</v>
      </c>
      <c r="AB158" s="8"/>
      <c r="AC158" s="8"/>
      <c r="AD158" s="8" t="s">
        <v>928</v>
      </c>
      <c r="AE158" s="8" t="s">
        <v>154</v>
      </c>
      <c r="AF158" s="8"/>
      <c r="AG158" s="5">
        <v>46104</v>
      </c>
      <c r="AH158" s="5"/>
      <c r="AI158" s="8"/>
      <c r="AJ158" s="8" t="s">
        <v>929</v>
      </c>
      <c r="AK158" s="8" t="s">
        <v>930</v>
      </c>
      <c r="AL158" s="8" t="s">
        <v>207</v>
      </c>
      <c r="AM158" s="8" t="s">
        <v>77</v>
      </c>
      <c r="AN158" s="8" t="s">
        <v>77</v>
      </c>
      <c r="AO158" s="8"/>
    </row>
    <row r="159" spans="1:41" ht="28.5">
      <c r="A159" s="7" t="s">
        <v>931</v>
      </c>
      <c r="B159" s="5">
        <v>46065</v>
      </c>
      <c r="C159" s="17" t="str">
        <f ca="1">IF(B159="","",IF(OR(TRIM(R159)="En curso",TRIM(R159)="En proceso de ingreso"),TODAY()-B159,"Cerrada"))</f>
        <v>Cerrada</v>
      </c>
      <c r="D159" s="8" t="s">
        <v>144</v>
      </c>
      <c r="E159" s="8" t="s">
        <v>43</v>
      </c>
      <c r="F159" s="8"/>
      <c r="G159" s="8"/>
      <c r="H159" s="8"/>
      <c r="I159" s="8"/>
      <c r="J159" s="8" t="s">
        <v>145</v>
      </c>
      <c r="K159" s="8" t="s">
        <v>146</v>
      </c>
      <c r="L159" s="8" t="s">
        <v>347</v>
      </c>
      <c r="M159" s="8" t="s">
        <v>348</v>
      </c>
      <c r="N159" s="8" t="s">
        <v>213</v>
      </c>
      <c r="O159" s="8" t="s">
        <v>349</v>
      </c>
      <c r="P159" s="8" t="s">
        <v>350</v>
      </c>
      <c r="Q159" s="8"/>
      <c r="R159" s="8" t="s">
        <v>52</v>
      </c>
      <c r="S159" s="8" t="s">
        <v>53</v>
      </c>
      <c r="T159" s="8"/>
      <c r="U159" s="8" t="s">
        <v>69</v>
      </c>
      <c r="V159" s="8" t="s">
        <v>70</v>
      </c>
      <c r="W159" s="8" t="s">
        <v>54</v>
      </c>
      <c r="X159" s="8"/>
      <c r="Y159" s="8" t="s">
        <v>932</v>
      </c>
      <c r="Z159" s="8"/>
      <c r="AA159" s="8" t="s">
        <v>56</v>
      </c>
      <c r="AB159" s="8"/>
      <c r="AC159" s="8"/>
      <c r="AD159" s="8" t="s">
        <v>586</v>
      </c>
      <c r="AE159" s="8" t="s">
        <v>154</v>
      </c>
      <c r="AF159" s="5">
        <v>46104</v>
      </c>
      <c r="AG159" s="5">
        <v>46120</v>
      </c>
      <c r="AH159" s="5"/>
      <c r="AI159" s="8"/>
      <c r="AJ159" s="8" t="s">
        <v>933</v>
      </c>
      <c r="AK159" s="8" t="s">
        <v>354</v>
      </c>
      <c r="AL159" s="8" t="s">
        <v>207</v>
      </c>
      <c r="AM159" s="8" t="s">
        <v>77</v>
      </c>
      <c r="AN159" s="8"/>
      <c r="AO159" s="8" t="s">
        <v>934</v>
      </c>
    </row>
    <row r="160" spans="1:41" ht="28.5">
      <c r="A160" s="7" t="s">
        <v>935</v>
      </c>
      <c r="B160" s="5">
        <v>46066</v>
      </c>
      <c r="C160" s="17" t="str">
        <f ca="1">IF(B160="","",IF(OR(TRIM(R160)="En curso",TRIM(R160)="En proceso de ingreso"),TODAY()-B160,"Cerrada"))</f>
        <v>Cerrada</v>
      </c>
      <c r="D160" s="8" t="s">
        <v>42</v>
      </c>
      <c r="E160" s="8" t="s">
        <v>43</v>
      </c>
      <c r="F160" s="8"/>
      <c r="G160" s="8"/>
      <c r="H160" s="8"/>
      <c r="I160" s="8"/>
      <c r="J160" s="8" t="s">
        <v>320</v>
      </c>
      <c r="K160" s="8" t="s">
        <v>525</v>
      </c>
      <c r="L160" s="8" t="s">
        <v>913</v>
      </c>
      <c r="M160" s="8" t="s">
        <v>322</v>
      </c>
      <c r="N160" s="8" t="s">
        <v>170</v>
      </c>
      <c r="O160" s="8" t="s">
        <v>526</v>
      </c>
      <c r="P160" s="8" t="s">
        <v>914</v>
      </c>
      <c r="Q160" s="8"/>
      <c r="R160" s="8" t="s">
        <v>52</v>
      </c>
      <c r="S160" s="8" t="s">
        <v>53</v>
      </c>
      <c r="T160" s="8"/>
      <c r="U160" s="8"/>
      <c r="V160" s="8"/>
      <c r="W160" s="8" t="s">
        <v>54</v>
      </c>
      <c r="X160" s="8"/>
      <c r="Y160" s="8" t="s">
        <v>531</v>
      </c>
      <c r="Z160" s="8"/>
      <c r="AA160" s="8" t="s">
        <v>56</v>
      </c>
      <c r="AB160" s="8"/>
      <c r="AC160" s="8"/>
      <c r="AD160" s="8" t="s">
        <v>936</v>
      </c>
      <c r="AE160" s="8" t="s">
        <v>530</v>
      </c>
      <c r="AF160" s="5">
        <v>46084</v>
      </c>
      <c r="AG160" s="5">
        <v>46090</v>
      </c>
      <c r="AH160" s="5"/>
      <c r="AI160" s="8"/>
      <c r="AJ160" s="8" t="s">
        <v>937</v>
      </c>
      <c r="AK160" s="8" t="s">
        <v>938</v>
      </c>
      <c r="AL160" s="8"/>
      <c r="AM160" s="8" t="s">
        <v>44</v>
      </c>
      <c r="AN160" s="8" t="s">
        <v>44</v>
      </c>
      <c r="AO160" s="8"/>
    </row>
    <row r="161" spans="1:41">
      <c r="A161" s="7" t="s">
        <v>939</v>
      </c>
      <c r="B161" s="5">
        <v>46066</v>
      </c>
      <c r="C161" s="17" t="str">
        <f ca="1">IF(B161="","",IF(OR(TRIM(R161)="En curso",TRIM(R161)="En proceso de ingreso"),TODAY()-B161,"Cerrada"))</f>
        <v>Cerrada</v>
      </c>
      <c r="D161" s="8" t="s">
        <v>144</v>
      </c>
      <c r="E161" s="8" t="s">
        <v>43</v>
      </c>
      <c r="F161" s="8"/>
      <c r="G161" s="8"/>
      <c r="H161" s="8"/>
      <c r="I161" s="8"/>
      <c r="J161" s="8" t="s">
        <v>145</v>
      </c>
      <c r="K161" s="8" t="s">
        <v>146</v>
      </c>
      <c r="L161" s="8" t="s">
        <v>222</v>
      </c>
      <c r="M161" s="8" t="s">
        <v>766</v>
      </c>
      <c r="N161" s="8" t="s">
        <v>223</v>
      </c>
      <c r="O161" s="8" t="s">
        <v>433</v>
      </c>
      <c r="P161" s="8" t="s">
        <v>606</v>
      </c>
      <c r="Q161" s="8"/>
      <c r="R161" s="8" t="s">
        <v>52</v>
      </c>
      <c r="S161" s="8" t="s">
        <v>53</v>
      </c>
      <c r="T161" s="8"/>
      <c r="U161" s="8" t="s">
        <v>69</v>
      </c>
      <c r="V161" s="8" t="s">
        <v>472</v>
      </c>
      <c r="W161" s="8" t="s">
        <v>54</v>
      </c>
      <c r="X161" s="8"/>
      <c r="Y161" s="8" t="s">
        <v>940</v>
      </c>
      <c r="Z161" s="8" t="s">
        <v>941</v>
      </c>
      <c r="AA161" s="8" t="s">
        <v>56</v>
      </c>
      <c r="AB161" s="8"/>
      <c r="AC161" s="8"/>
      <c r="AD161" s="8" t="s">
        <v>942</v>
      </c>
      <c r="AE161" s="8" t="s">
        <v>154</v>
      </c>
      <c r="AF161" s="5">
        <v>46139</v>
      </c>
      <c r="AG161" s="5">
        <v>46139</v>
      </c>
      <c r="AH161" s="5"/>
      <c r="AI161" s="8"/>
      <c r="AJ161" s="8" t="s">
        <v>943</v>
      </c>
      <c r="AK161" s="8" t="s">
        <v>944</v>
      </c>
      <c r="AL161" s="8" t="s">
        <v>207</v>
      </c>
      <c r="AM161" s="8" t="s">
        <v>44</v>
      </c>
      <c r="AN161" s="8" t="s">
        <v>44</v>
      </c>
      <c r="AO161" s="8" t="s">
        <v>945</v>
      </c>
    </row>
    <row r="162" spans="1:41" ht="28.5">
      <c r="A162" s="7" t="s">
        <v>946</v>
      </c>
      <c r="B162" s="5">
        <v>46067</v>
      </c>
      <c r="C162" s="17" t="str">
        <f ca="1">IF(B162="","",IF(OR(TRIM(R162)="En curso",TRIM(R162)="En proceso de ingreso"),TODAY()-B162,"Cerrada"))</f>
        <v>Cerrada</v>
      </c>
      <c r="D162" s="8" t="s">
        <v>144</v>
      </c>
      <c r="E162" s="8" t="s">
        <v>43</v>
      </c>
      <c r="F162" s="8"/>
      <c r="G162" s="8"/>
      <c r="H162" s="8"/>
      <c r="I162" s="8"/>
      <c r="J162" s="8" t="s">
        <v>180</v>
      </c>
      <c r="K162" s="8" t="s">
        <v>311</v>
      </c>
      <c r="L162" s="8" t="s">
        <v>332</v>
      </c>
      <c r="M162" s="8" t="s">
        <v>249</v>
      </c>
      <c r="N162" s="8" t="s">
        <v>170</v>
      </c>
      <c r="O162" s="8" t="s">
        <v>660</v>
      </c>
      <c r="P162" s="8" t="s">
        <v>947</v>
      </c>
      <c r="Q162" s="8"/>
      <c r="R162" s="8" t="s">
        <v>52</v>
      </c>
      <c r="S162" s="8" t="s">
        <v>53</v>
      </c>
      <c r="T162" s="8"/>
      <c r="U162" s="8" t="s">
        <v>69</v>
      </c>
      <c r="V162" s="8" t="s">
        <v>70</v>
      </c>
      <c r="W162" s="8" t="s">
        <v>54</v>
      </c>
      <c r="X162" s="8"/>
      <c r="Y162" s="8" t="s">
        <v>948</v>
      </c>
      <c r="Z162" s="8"/>
      <c r="AA162" s="8" t="s">
        <v>152</v>
      </c>
      <c r="AB162" s="8"/>
      <c r="AC162" s="8"/>
      <c r="AD162" s="8" t="s">
        <v>949</v>
      </c>
      <c r="AE162" s="8" t="s">
        <v>664</v>
      </c>
      <c r="AF162" s="5">
        <v>46084</v>
      </c>
      <c r="AG162" s="5">
        <v>46090</v>
      </c>
      <c r="AH162" s="5"/>
      <c r="AI162" s="8"/>
      <c r="AJ162" s="8" t="s">
        <v>950</v>
      </c>
      <c r="AK162" s="8" t="s">
        <v>666</v>
      </c>
      <c r="AL162" s="8" t="s">
        <v>61</v>
      </c>
      <c r="AM162" s="8" t="s">
        <v>77</v>
      </c>
      <c r="AN162" s="8"/>
      <c r="AO162" s="8"/>
    </row>
    <row r="163" spans="1:41" hidden="1">
      <c r="A163" s="7" t="s">
        <v>951</v>
      </c>
      <c r="B163" s="5">
        <v>46068</v>
      </c>
      <c r="C163" s="17" t="str">
        <f ca="1">IF(B163="","",IF(OR(TRIM(R163)="En curso",TRIM(R163)="En proceso de ingreso"),TODAY()-B163,"Cerrada"))</f>
        <v>Cerrada</v>
      </c>
      <c r="D163" s="8" t="s">
        <v>144</v>
      </c>
      <c r="E163" s="8" t="s">
        <v>43</v>
      </c>
      <c r="F163" s="8"/>
      <c r="G163" s="8"/>
      <c r="H163" s="8"/>
      <c r="I163" s="8"/>
      <c r="J163" s="8" t="s">
        <v>145</v>
      </c>
      <c r="K163" s="8" t="s">
        <v>146</v>
      </c>
      <c r="L163" s="8" t="s">
        <v>222</v>
      </c>
      <c r="M163" s="8" t="s">
        <v>212</v>
      </c>
      <c r="N163" s="8" t="s">
        <v>223</v>
      </c>
      <c r="O163" s="8" t="s">
        <v>224</v>
      </c>
      <c r="P163" s="8" t="s">
        <v>606</v>
      </c>
      <c r="Q163" s="8"/>
      <c r="R163" s="8" t="s">
        <v>132</v>
      </c>
      <c r="S163" s="8" t="s">
        <v>132</v>
      </c>
      <c r="T163" s="8"/>
      <c r="U163" s="8" t="s">
        <v>70</v>
      </c>
      <c r="V163" s="8"/>
      <c r="W163" s="8" t="s">
        <v>54</v>
      </c>
      <c r="X163" s="8"/>
      <c r="Y163" s="8" t="s">
        <v>590</v>
      </c>
      <c r="Z163" s="8"/>
      <c r="AA163" s="8" t="s">
        <v>56</v>
      </c>
      <c r="AB163" s="8"/>
      <c r="AC163" s="8"/>
      <c r="AD163" s="8"/>
      <c r="AE163" s="8" t="s">
        <v>154</v>
      </c>
      <c r="AF163" s="8"/>
      <c r="AG163" s="8"/>
      <c r="AH163" s="5"/>
      <c r="AI163" s="8"/>
      <c r="AJ163" s="8"/>
      <c r="AK163" s="8"/>
      <c r="AL163" s="8"/>
      <c r="AM163" s="8"/>
      <c r="AN163" s="8"/>
      <c r="AO163" s="8"/>
    </row>
    <row r="164" spans="1:41" ht="28.5">
      <c r="A164" s="7" t="s">
        <v>952</v>
      </c>
      <c r="B164" s="5">
        <v>46068</v>
      </c>
      <c r="C164" s="17" t="str">
        <f ca="1">IF(B164="","",IF(OR(TRIM(R164)="En curso",TRIM(R164)="En proceso de ingreso"),TODAY()-B164,"Cerrada"))</f>
        <v>Cerrada</v>
      </c>
      <c r="D164" s="8" t="s">
        <v>144</v>
      </c>
      <c r="E164" s="8" t="s">
        <v>43</v>
      </c>
      <c r="F164" s="8"/>
      <c r="G164" s="8"/>
      <c r="H164" s="8"/>
      <c r="I164" s="8"/>
      <c r="J164" s="8" t="s">
        <v>145</v>
      </c>
      <c r="K164" s="8" t="s">
        <v>146</v>
      </c>
      <c r="L164" s="8" t="s">
        <v>222</v>
      </c>
      <c r="M164" s="8" t="s">
        <v>212</v>
      </c>
      <c r="N164" s="8" t="s">
        <v>223</v>
      </c>
      <c r="O164" s="8" t="s">
        <v>224</v>
      </c>
      <c r="P164" s="8" t="s">
        <v>225</v>
      </c>
      <c r="Q164" s="8"/>
      <c r="R164" s="8" t="s">
        <v>52</v>
      </c>
      <c r="S164" s="8" t="s">
        <v>53</v>
      </c>
      <c r="T164" s="8"/>
      <c r="U164" s="8" t="s">
        <v>70</v>
      </c>
      <c r="V164" s="8"/>
      <c r="W164" s="8" t="s">
        <v>54</v>
      </c>
      <c r="X164" s="8"/>
      <c r="Y164" s="8" t="s">
        <v>953</v>
      </c>
      <c r="Z164" s="8"/>
      <c r="AA164" s="8" t="s">
        <v>56</v>
      </c>
      <c r="AB164" s="8"/>
      <c r="AC164" s="8"/>
      <c r="AD164" s="8" t="s">
        <v>521</v>
      </c>
      <c r="AE164" s="8" t="s">
        <v>154</v>
      </c>
      <c r="AF164" s="5">
        <v>46092</v>
      </c>
      <c r="AG164" s="5">
        <v>46101</v>
      </c>
      <c r="AH164" s="5"/>
      <c r="AI164" s="8"/>
      <c r="AJ164" s="8" t="s">
        <v>954</v>
      </c>
      <c r="AK164" s="8" t="s">
        <v>423</v>
      </c>
      <c r="AL164" s="8" t="s">
        <v>207</v>
      </c>
      <c r="AM164" s="8" t="s">
        <v>44</v>
      </c>
      <c r="AN164" s="8" t="s">
        <v>44</v>
      </c>
      <c r="AO164" s="8"/>
    </row>
    <row r="165" spans="1:41" ht="28.5">
      <c r="A165" s="7" t="s">
        <v>955</v>
      </c>
      <c r="B165" s="5">
        <v>46068</v>
      </c>
      <c r="C165" s="17" t="str">
        <f ca="1">IF(B165="","",IF(OR(TRIM(R165)="En curso",TRIM(R165)="En proceso de ingreso"),TODAY()-B165,"Cerrada"))</f>
        <v>Cerrada</v>
      </c>
      <c r="D165" s="8" t="s">
        <v>144</v>
      </c>
      <c r="E165" s="8" t="s">
        <v>43</v>
      </c>
      <c r="F165" s="8"/>
      <c r="G165" s="8"/>
      <c r="H165" s="8"/>
      <c r="I165" s="8"/>
      <c r="J165" s="8" t="s">
        <v>145</v>
      </c>
      <c r="K165" s="8" t="s">
        <v>146</v>
      </c>
      <c r="L165" s="8" t="s">
        <v>222</v>
      </c>
      <c r="M165" s="8" t="s">
        <v>212</v>
      </c>
      <c r="N165" s="8" t="s">
        <v>223</v>
      </c>
      <c r="O165" s="8" t="s">
        <v>224</v>
      </c>
      <c r="P165" s="8" t="s">
        <v>225</v>
      </c>
      <c r="Q165" s="8"/>
      <c r="R165" s="8" t="s">
        <v>52</v>
      </c>
      <c r="S165" s="8" t="s">
        <v>53</v>
      </c>
      <c r="T165" s="8"/>
      <c r="U165" s="8" t="s">
        <v>70</v>
      </c>
      <c r="V165" s="8"/>
      <c r="W165" s="8" t="s">
        <v>54</v>
      </c>
      <c r="X165" s="8"/>
      <c r="Y165" s="8" t="s">
        <v>953</v>
      </c>
      <c r="Z165" s="8"/>
      <c r="AA165" s="8" t="s">
        <v>56</v>
      </c>
      <c r="AB165" s="8"/>
      <c r="AC165" s="8"/>
      <c r="AD165" s="8" t="s">
        <v>521</v>
      </c>
      <c r="AE165" s="8" t="s">
        <v>154</v>
      </c>
      <c r="AF165" s="5">
        <v>46092</v>
      </c>
      <c r="AG165" s="5">
        <v>46101</v>
      </c>
      <c r="AH165" s="5"/>
      <c r="AI165" s="8"/>
      <c r="AJ165" s="8" t="s">
        <v>956</v>
      </c>
      <c r="AK165" s="8" t="s">
        <v>423</v>
      </c>
      <c r="AL165" s="8" t="s">
        <v>207</v>
      </c>
      <c r="AM165" s="8" t="s">
        <v>44</v>
      </c>
      <c r="AN165" s="8" t="s">
        <v>44</v>
      </c>
      <c r="AO165" s="8"/>
    </row>
    <row r="166" spans="1:41" hidden="1">
      <c r="A166" s="7" t="s">
        <v>957</v>
      </c>
      <c r="B166" s="5">
        <v>46068</v>
      </c>
      <c r="C166" s="17">
        <f ca="1">IF(B166="","",IF(OR(TRIM(R166)="En curso",TRIM(R166)="En proceso de ingreso"),TODAY()-B166,"Cerrada"))</f>
        <v>72</v>
      </c>
      <c r="D166" s="8" t="s">
        <v>144</v>
      </c>
      <c r="E166" s="8" t="s">
        <v>43</v>
      </c>
      <c r="F166" s="8"/>
      <c r="G166" s="8"/>
      <c r="H166" s="8"/>
      <c r="I166" s="8"/>
      <c r="J166" s="8" t="s">
        <v>145</v>
      </c>
      <c r="K166" s="8" t="s">
        <v>146</v>
      </c>
      <c r="L166" s="8" t="s">
        <v>222</v>
      </c>
      <c r="M166" s="8" t="s">
        <v>212</v>
      </c>
      <c r="N166" s="8" t="s">
        <v>223</v>
      </c>
      <c r="O166" s="8" t="s">
        <v>224</v>
      </c>
      <c r="P166" s="8" t="s">
        <v>606</v>
      </c>
      <c r="Q166" s="8"/>
      <c r="R166" s="8" t="s">
        <v>724</v>
      </c>
      <c r="S166" s="8" t="s">
        <v>958</v>
      </c>
      <c r="T166" s="5">
        <v>46160</v>
      </c>
      <c r="U166" s="8" t="s">
        <v>70</v>
      </c>
      <c r="V166" s="8" t="s">
        <v>472</v>
      </c>
      <c r="W166" s="8" t="s">
        <v>54</v>
      </c>
      <c r="X166" s="8"/>
      <c r="Y166" s="8" t="s">
        <v>510</v>
      </c>
      <c r="Z166" s="8" t="s">
        <v>941</v>
      </c>
      <c r="AA166" s="8" t="s">
        <v>56</v>
      </c>
      <c r="AB166" s="8"/>
      <c r="AC166" s="8"/>
      <c r="AD166" s="8" t="s">
        <v>959</v>
      </c>
      <c r="AE166" s="8" t="s">
        <v>154</v>
      </c>
      <c r="AF166" s="8"/>
      <c r="AG166" s="8"/>
      <c r="AH166" s="5"/>
      <c r="AI166" s="8"/>
      <c r="AJ166" s="8"/>
      <c r="AK166" s="8"/>
      <c r="AL166" s="8" t="s">
        <v>207</v>
      </c>
      <c r="AM166" s="8" t="s">
        <v>44</v>
      </c>
      <c r="AN166" s="8" t="s">
        <v>44</v>
      </c>
      <c r="AO166" s="8"/>
    </row>
    <row r="167" spans="1:41" ht="28.5">
      <c r="A167" s="7" t="s">
        <v>960</v>
      </c>
      <c r="B167" s="5">
        <v>46069</v>
      </c>
      <c r="C167" s="17" t="str">
        <f ca="1">IF(B167="","",IF(OR(TRIM(R167)="En curso",TRIM(R167)="En proceso de ingreso"),TODAY()-B167,"Cerrada"))</f>
        <v>Cerrada</v>
      </c>
      <c r="D167" s="8" t="s">
        <v>144</v>
      </c>
      <c r="E167" s="8" t="s">
        <v>43</v>
      </c>
      <c r="F167" s="8"/>
      <c r="G167" s="8"/>
      <c r="H167" s="8"/>
      <c r="I167" s="8"/>
      <c r="J167" s="8" t="s">
        <v>145</v>
      </c>
      <c r="K167" s="8" t="s">
        <v>146</v>
      </c>
      <c r="L167" s="8" t="s">
        <v>222</v>
      </c>
      <c r="M167" s="8" t="s">
        <v>199</v>
      </c>
      <c r="N167" s="8" t="s">
        <v>223</v>
      </c>
      <c r="O167" s="8" t="s">
        <v>433</v>
      </c>
      <c r="P167" s="8" t="s">
        <v>225</v>
      </c>
      <c r="Q167" s="8"/>
      <c r="R167" s="8" t="s">
        <v>52</v>
      </c>
      <c r="S167" s="8" t="s">
        <v>53</v>
      </c>
      <c r="T167" s="8"/>
      <c r="U167" s="8" t="s">
        <v>69</v>
      </c>
      <c r="V167" s="8" t="s">
        <v>70</v>
      </c>
      <c r="W167" s="8" t="s">
        <v>54</v>
      </c>
      <c r="X167" s="8"/>
      <c r="Y167" s="8" t="s">
        <v>961</v>
      </c>
      <c r="Z167" s="8"/>
      <c r="AA167" s="8" t="s">
        <v>56</v>
      </c>
      <c r="AB167" s="8"/>
      <c r="AC167" s="8"/>
      <c r="AD167" s="8" t="s">
        <v>521</v>
      </c>
      <c r="AE167" s="8" t="s">
        <v>154</v>
      </c>
      <c r="AF167" s="5">
        <v>46084</v>
      </c>
      <c r="AG167" s="5">
        <v>46090</v>
      </c>
      <c r="AH167" s="5"/>
      <c r="AI167" s="8"/>
      <c r="AJ167" s="8" t="s">
        <v>962</v>
      </c>
      <c r="AK167" s="8" t="s">
        <v>523</v>
      </c>
      <c r="AL167" s="8" t="s">
        <v>207</v>
      </c>
      <c r="AM167" s="8" t="s">
        <v>77</v>
      </c>
      <c r="AN167" s="8"/>
      <c r="AO167" s="8" t="s">
        <v>705</v>
      </c>
    </row>
    <row r="168" spans="1:41" ht="28.5">
      <c r="A168" s="7" t="s">
        <v>963</v>
      </c>
      <c r="B168" s="5">
        <v>46069</v>
      </c>
      <c r="C168" s="17" t="str">
        <f ca="1">IF(B168="","",IF(OR(TRIM(R168)="En curso",TRIM(R168)="En proceso de ingreso"),TODAY()-B168,"Cerrada"))</f>
        <v>Cerrada</v>
      </c>
      <c r="D168" s="8" t="s">
        <v>42</v>
      </c>
      <c r="E168" s="8" t="s">
        <v>43</v>
      </c>
      <c r="F168" s="8"/>
      <c r="G168" s="8"/>
      <c r="H168" s="8"/>
      <c r="I168" s="8"/>
      <c r="J168" s="8" t="s">
        <v>180</v>
      </c>
      <c r="K168" s="8" t="s">
        <v>311</v>
      </c>
      <c r="L168" s="8" t="s">
        <v>332</v>
      </c>
      <c r="M168" s="8" t="s">
        <v>249</v>
      </c>
      <c r="N168" s="8" t="s">
        <v>170</v>
      </c>
      <c r="O168" s="8" t="s">
        <v>660</v>
      </c>
      <c r="P168" s="8" t="s">
        <v>895</v>
      </c>
      <c r="Q168" s="8"/>
      <c r="R168" s="8" t="s">
        <v>52</v>
      </c>
      <c r="S168" s="8" t="s">
        <v>53</v>
      </c>
      <c r="T168" s="8"/>
      <c r="U168" s="8" t="s">
        <v>69</v>
      </c>
      <c r="V168" s="8" t="s">
        <v>472</v>
      </c>
      <c r="W168" s="8" t="s">
        <v>54</v>
      </c>
      <c r="X168" s="8"/>
      <c r="Y168" s="8" t="s">
        <v>964</v>
      </c>
      <c r="Z168" s="8" t="s">
        <v>965</v>
      </c>
      <c r="AA168" s="8" t="s">
        <v>173</v>
      </c>
      <c r="AB168" s="8"/>
      <c r="AC168" s="8"/>
      <c r="AD168" s="8" t="s">
        <v>966</v>
      </c>
      <c r="AE168" s="8" t="s">
        <v>664</v>
      </c>
      <c r="AF168" s="5">
        <v>46092</v>
      </c>
      <c r="AG168" s="5">
        <v>46120</v>
      </c>
      <c r="AH168" s="5" t="s">
        <v>73</v>
      </c>
      <c r="AI168" s="8"/>
      <c r="AJ168" s="8" t="s">
        <v>967</v>
      </c>
      <c r="AK168" s="8" t="s">
        <v>968</v>
      </c>
      <c r="AL168" s="8" t="s">
        <v>61</v>
      </c>
      <c r="AM168" s="8" t="s">
        <v>77</v>
      </c>
      <c r="AN168" s="8"/>
      <c r="AO168" s="8"/>
    </row>
    <row r="169" spans="1:41">
      <c r="A169" s="7" t="s">
        <v>969</v>
      </c>
      <c r="B169" s="5">
        <v>46071</v>
      </c>
      <c r="C169" s="17" t="str">
        <f ca="1">IF(B169="","",IF(OR(TRIM(R169)="En curso",TRIM(R169)="En proceso de ingreso"),TODAY()-B169,"Cerrada"))</f>
        <v>Cerrada</v>
      </c>
      <c r="D169" s="8" t="s">
        <v>42</v>
      </c>
      <c r="E169" s="8" t="s">
        <v>43</v>
      </c>
      <c r="F169" s="8"/>
      <c r="G169" s="8"/>
      <c r="H169" s="8"/>
      <c r="I169" s="8"/>
      <c r="J169" s="8" t="s">
        <v>45</v>
      </c>
      <c r="K169" s="8" t="s">
        <v>970</v>
      </c>
      <c r="L169" s="8" t="s">
        <v>122</v>
      </c>
      <c r="M169" s="8" t="s">
        <v>161</v>
      </c>
      <c r="N169" s="8" t="s">
        <v>49</v>
      </c>
      <c r="O169" s="8" t="s">
        <v>364</v>
      </c>
      <c r="P169" s="8" t="s">
        <v>365</v>
      </c>
      <c r="Q169" s="8"/>
      <c r="R169" s="8" t="s">
        <v>52</v>
      </c>
      <c r="S169" s="8" t="s">
        <v>53</v>
      </c>
      <c r="T169" s="8"/>
      <c r="U169" s="8"/>
      <c r="V169" s="8"/>
      <c r="W169" s="8" t="s">
        <v>54</v>
      </c>
      <c r="X169" s="8"/>
      <c r="Y169" s="8" t="s">
        <v>971</v>
      </c>
      <c r="Z169" s="8"/>
      <c r="AA169" s="8" t="s">
        <v>152</v>
      </c>
      <c r="AB169" s="8"/>
      <c r="AC169" s="8"/>
      <c r="AD169" s="8" t="s">
        <v>972</v>
      </c>
      <c r="AE169" s="8" t="s">
        <v>973</v>
      </c>
      <c r="AF169" s="5">
        <v>46072</v>
      </c>
      <c r="AG169" s="5">
        <v>46083</v>
      </c>
      <c r="AH169" s="5"/>
      <c r="AI169" s="8"/>
      <c r="AJ169" s="8" t="s">
        <v>974</v>
      </c>
      <c r="AK169" s="8" t="s">
        <v>551</v>
      </c>
      <c r="AL169" s="8" t="s">
        <v>61</v>
      </c>
      <c r="AM169" s="8" t="s">
        <v>44</v>
      </c>
      <c r="AN169" s="8" t="s">
        <v>77</v>
      </c>
      <c r="AO169" s="8" t="s">
        <v>975</v>
      </c>
    </row>
    <row r="170" spans="1:41" ht="43.5">
      <c r="A170" s="7" t="s">
        <v>976</v>
      </c>
      <c r="B170" s="5">
        <v>46071</v>
      </c>
      <c r="C170" s="17" t="str">
        <f ca="1">IF(B170="","",IF(OR(TRIM(R170)="En curso",TRIM(R170)="En proceso de ingreso"),TODAY()-B170,"Cerrada"))</f>
        <v>Cerrada</v>
      </c>
      <c r="D170" s="8" t="s">
        <v>104</v>
      </c>
      <c r="E170" s="8" t="s">
        <v>43</v>
      </c>
      <c r="F170" s="8"/>
      <c r="G170" s="8"/>
      <c r="H170" s="8"/>
      <c r="I170" s="8"/>
      <c r="J170" s="8" t="s">
        <v>145</v>
      </c>
      <c r="K170" s="8"/>
      <c r="L170" s="8" t="s">
        <v>48</v>
      </c>
      <c r="M170" s="8" t="s">
        <v>161</v>
      </c>
      <c r="N170" s="8" t="s">
        <v>238</v>
      </c>
      <c r="O170" s="8" t="s">
        <v>977</v>
      </c>
      <c r="P170" s="8" t="s">
        <v>978</v>
      </c>
      <c r="Q170" s="8"/>
      <c r="R170" s="8" t="s">
        <v>52</v>
      </c>
      <c r="S170" s="8" t="s">
        <v>53</v>
      </c>
      <c r="T170" s="8"/>
      <c r="U170" s="8" t="s">
        <v>70</v>
      </c>
      <c r="V170" s="8" t="s">
        <v>472</v>
      </c>
      <c r="W170" s="8" t="s">
        <v>63</v>
      </c>
      <c r="X170" s="8"/>
      <c r="Y170" s="8"/>
      <c r="Z170" s="8"/>
      <c r="AA170" s="8" t="s">
        <v>56</v>
      </c>
      <c r="AB170" s="8"/>
      <c r="AC170" s="8"/>
      <c r="AD170" s="8" t="s">
        <v>263</v>
      </c>
      <c r="AE170" s="8" t="s">
        <v>113</v>
      </c>
      <c r="AF170" s="5">
        <v>46111</v>
      </c>
      <c r="AG170" s="5">
        <v>46118</v>
      </c>
      <c r="AH170" s="5" t="s">
        <v>73</v>
      </c>
      <c r="AI170" s="8" t="s">
        <v>515</v>
      </c>
      <c r="AJ170" s="8" t="s">
        <v>979</v>
      </c>
      <c r="AK170" s="8" t="s">
        <v>980</v>
      </c>
      <c r="AL170" s="8" t="s">
        <v>116</v>
      </c>
      <c r="AM170" s="8" t="s">
        <v>118</v>
      </c>
      <c r="AN170" s="8" t="s">
        <v>77</v>
      </c>
      <c r="AO170" s="8" t="s">
        <v>981</v>
      </c>
    </row>
    <row r="171" spans="1:41" ht="28.5">
      <c r="A171" s="7" t="s">
        <v>982</v>
      </c>
      <c r="B171" s="5">
        <v>46071</v>
      </c>
      <c r="C171" s="17" t="str">
        <f ca="1">IF(B171="","",IF(OR(TRIM(R171)="En curso",TRIM(R171)="En proceso de ingreso"),TODAY()-B171,"Cerrada"))</f>
        <v>Cerrada</v>
      </c>
      <c r="D171" s="8" t="s">
        <v>144</v>
      </c>
      <c r="E171" s="8" t="s">
        <v>43</v>
      </c>
      <c r="F171" s="8"/>
      <c r="G171" s="8"/>
      <c r="H171" s="8"/>
      <c r="I171" s="8"/>
      <c r="J171" s="8" t="s">
        <v>145</v>
      </c>
      <c r="K171" s="8"/>
      <c r="L171" s="8" t="s">
        <v>293</v>
      </c>
      <c r="M171" s="8" t="s">
        <v>983</v>
      </c>
      <c r="N171" s="8" t="s">
        <v>170</v>
      </c>
      <c r="O171" s="8" t="s">
        <v>984</v>
      </c>
      <c r="P171" s="8" t="s">
        <v>296</v>
      </c>
      <c r="Q171" s="8"/>
      <c r="R171" s="8" t="s">
        <v>52</v>
      </c>
      <c r="S171" s="8" t="s">
        <v>53</v>
      </c>
      <c r="T171" s="8"/>
      <c r="U171" s="8" t="s">
        <v>69</v>
      </c>
      <c r="V171" s="8"/>
      <c r="W171" s="8" t="s">
        <v>54</v>
      </c>
      <c r="X171" s="8"/>
      <c r="Y171" s="8" t="s">
        <v>985</v>
      </c>
      <c r="Z171" s="8"/>
      <c r="AA171" s="8" t="s">
        <v>56</v>
      </c>
      <c r="AB171" s="8"/>
      <c r="AC171" s="8"/>
      <c r="AD171" s="8" t="s">
        <v>986</v>
      </c>
      <c r="AE171" s="8" t="s">
        <v>154</v>
      </c>
      <c r="AF171" s="8"/>
      <c r="AG171" s="5">
        <v>46104</v>
      </c>
      <c r="AH171" s="5"/>
      <c r="AI171" s="8"/>
      <c r="AJ171" s="8" t="s">
        <v>987</v>
      </c>
      <c r="AK171" s="8" t="s">
        <v>930</v>
      </c>
      <c r="AL171" s="8" t="s">
        <v>207</v>
      </c>
      <c r="AM171" s="8" t="s">
        <v>77</v>
      </c>
      <c r="AN171" s="8"/>
      <c r="AO171" s="8"/>
    </row>
    <row r="172" spans="1:41" hidden="1">
      <c r="A172" s="7" t="s">
        <v>988</v>
      </c>
      <c r="B172" s="5">
        <v>46071</v>
      </c>
      <c r="C172" s="17" t="str">
        <f ca="1">IF(B172="","",IF(OR(TRIM(R172)="En curso",TRIM(R172)="En proceso de ingreso"),TODAY()-B172,"Cerrada"))</f>
        <v>Cerrada</v>
      </c>
      <c r="D172" s="8" t="s">
        <v>144</v>
      </c>
      <c r="E172" s="8" t="s">
        <v>43</v>
      </c>
      <c r="F172" s="8"/>
      <c r="G172" s="8"/>
      <c r="H172" s="8"/>
      <c r="I172" s="8"/>
      <c r="J172" s="8" t="s">
        <v>145</v>
      </c>
      <c r="K172" s="8"/>
      <c r="L172" s="8" t="s">
        <v>248</v>
      </c>
      <c r="M172" s="8" t="s">
        <v>248</v>
      </c>
      <c r="N172" s="8" t="s">
        <v>213</v>
      </c>
      <c r="O172" s="8" t="s">
        <v>989</v>
      </c>
      <c r="P172" s="8" t="s">
        <v>990</v>
      </c>
      <c r="Q172" s="8"/>
      <c r="R172" s="8" t="s">
        <v>754</v>
      </c>
      <c r="S172" s="8"/>
      <c r="T172" s="8"/>
      <c r="U172" s="8" t="s">
        <v>69</v>
      </c>
      <c r="V172" s="8"/>
      <c r="W172" s="8" t="s">
        <v>54</v>
      </c>
      <c r="X172" s="8"/>
      <c r="Y172" s="8" t="s">
        <v>991</v>
      </c>
      <c r="Z172" s="8"/>
      <c r="AA172" s="8" t="s">
        <v>56</v>
      </c>
      <c r="AB172" s="8"/>
      <c r="AC172" s="8"/>
      <c r="AD172" s="8"/>
      <c r="AE172" s="8"/>
      <c r="AF172" s="8"/>
      <c r="AG172" s="8"/>
      <c r="AH172" s="5"/>
      <c r="AI172" s="8"/>
      <c r="AJ172" s="8"/>
      <c r="AK172" s="8"/>
      <c r="AL172" s="8"/>
      <c r="AM172" s="8"/>
      <c r="AN172" s="8"/>
      <c r="AO172" s="8"/>
    </row>
    <row r="173" spans="1:41" ht="28.5">
      <c r="A173" s="7" t="s">
        <v>992</v>
      </c>
      <c r="B173" s="5">
        <v>46071</v>
      </c>
      <c r="C173" s="17" t="str">
        <f ca="1">IF(B173="","",IF(OR(TRIM(R173)="En curso",TRIM(R173)="En proceso de ingreso"),TODAY()-B173,"Cerrada"))</f>
        <v>Cerrada</v>
      </c>
      <c r="D173" s="8" t="s">
        <v>42</v>
      </c>
      <c r="E173" s="8" t="s">
        <v>43</v>
      </c>
      <c r="F173" s="8"/>
      <c r="G173" s="8"/>
      <c r="H173" s="8"/>
      <c r="I173" s="8"/>
      <c r="J173" s="8" t="s">
        <v>45</v>
      </c>
      <c r="K173" s="8" t="s">
        <v>91</v>
      </c>
      <c r="L173" s="8" t="s">
        <v>47</v>
      </c>
      <c r="M173" s="8" t="s">
        <v>48</v>
      </c>
      <c r="N173" s="8" t="s">
        <v>49</v>
      </c>
      <c r="O173" s="8" t="s">
        <v>50</v>
      </c>
      <c r="P173" s="8" t="s">
        <v>51</v>
      </c>
      <c r="Q173" s="8"/>
      <c r="R173" s="8" t="s">
        <v>52</v>
      </c>
      <c r="S173" s="8" t="s">
        <v>53</v>
      </c>
      <c r="T173" s="8"/>
      <c r="U173" s="8" t="s">
        <v>69</v>
      </c>
      <c r="V173" s="8" t="s">
        <v>70</v>
      </c>
      <c r="W173" s="8" t="s">
        <v>54</v>
      </c>
      <c r="X173" s="8">
        <v>169836</v>
      </c>
      <c r="Y173" s="8" t="s">
        <v>379</v>
      </c>
      <c r="Z173" s="8" t="s">
        <v>941</v>
      </c>
      <c r="AA173" s="8" t="s">
        <v>56</v>
      </c>
      <c r="AB173" s="8"/>
      <c r="AC173" s="8"/>
      <c r="AD173" s="8" t="s">
        <v>93</v>
      </c>
      <c r="AE173" s="8" t="s">
        <v>993</v>
      </c>
      <c r="AF173" s="5">
        <v>46122</v>
      </c>
      <c r="AG173" s="5">
        <v>46128</v>
      </c>
      <c r="AH173" s="5"/>
      <c r="AI173" s="8" t="s">
        <v>74</v>
      </c>
      <c r="AJ173" s="8" t="s">
        <v>994</v>
      </c>
      <c r="AK173" s="8" t="s">
        <v>995</v>
      </c>
      <c r="AL173" s="8" t="s">
        <v>97</v>
      </c>
      <c r="AM173" s="8" t="s">
        <v>44</v>
      </c>
      <c r="AN173" s="8"/>
      <c r="AO173" s="8"/>
    </row>
    <row r="174" spans="1:41" ht="28.5">
      <c r="A174" s="7" t="s">
        <v>996</v>
      </c>
      <c r="B174" s="5">
        <v>46071</v>
      </c>
      <c r="C174" s="17" t="str">
        <f ca="1">IF(B174="","",IF(OR(TRIM(R174)="En curso",TRIM(R174)="En proceso de ingreso"),TODAY()-B174,"Cerrada"))</f>
        <v>Cerrada</v>
      </c>
      <c r="D174" s="8" t="s">
        <v>42</v>
      </c>
      <c r="E174" s="8" t="s">
        <v>43</v>
      </c>
      <c r="F174" s="8"/>
      <c r="G174" s="8"/>
      <c r="H174" s="8"/>
      <c r="I174" s="8"/>
      <c r="J174" s="8" t="s">
        <v>45</v>
      </c>
      <c r="K174" s="8" t="s">
        <v>46</v>
      </c>
      <c r="L174" s="8" t="s">
        <v>47</v>
      </c>
      <c r="M174" s="8" t="s">
        <v>48</v>
      </c>
      <c r="N174" s="8" t="s">
        <v>49</v>
      </c>
      <c r="O174" s="8" t="s">
        <v>50</v>
      </c>
      <c r="P174" s="8" t="s">
        <v>51</v>
      </c>
      <c r="Q174" s="8"/>
      <c r="R174" s="8" t="s">
        <v>52</v>
      </c>
      <c r="S174" s="8" t="s">
        <v>53</v>
      </c>
      <c r="T174" s="8"/>
      <c r="U174" s="8" t="s">
        <v>69</v>
      </c>
      <c r="V174" s="8" t="s">
        <v>70</v>
      </c>
      <c r="W174" s="8" t="s">
        <v>54</v>
      </c>
      <c r="X174" s="8">
        <v>1088</v>
      </c>
      <c r="Y174" s="8" t="s">
        <v>997</v>
      </c>
      <c r="Z174" s="8" t="s">
        <v>275</v>
      </c>
      <c r="AA174" s="8" t="s">
        <v>56</v>
      </c>
      <c r="AB174" s="8"/>
      <c r="AC174" s="8"/>
      <c r="AD174" s="8" t="s">
        <v>57</v>
      </c>
      <c r="AE174" s="8" t="s">
        <v>998</v>
      </c>
      <c r="AF174" s="5">
        <v>46122</v>
      </c>
      <c r="AG174" s="5">
        <v>46128</v>
      </c>
      <c r="AH174" s="5"/>
      <c r="AI174" s="8" t="s">
        <v>74</v>
      </c>
      <c r="AJ174" s="8" t="s">
        <v>999</v>
      </c>
      <c r="AK174" s="8" t="s">
        <v>1000</v>
      </c>
      <c r="AL174" s="8" t="s">
        <v>61</v>
      </c>
      <c r="AM174" s="8" t="s">
        <v>44</v>
      </c>
      <c r="AN174" s="8"/>
      <c r="AO174" s="8"/>
    </row>
    <row r="175" spans="1:41" ht="28.5" hidden="1">
      <c r="A175" s="7" t="s">
        <v>1001</v>
      </c>
      <c r="B175" s="5">
        <v>46071</v>
      </c>
      <c r="C175" s="17">
        <f ca="1">IF(B175="","",IF(OR(TRIM(R175)="En curso",TRIM(R175)="En proceso de ingreso"),TODAY()-B175,"Cerrada"))</f>
        <v>69</v>
      </c>
      <c r="D175" s="8" t="s">
        <v>42</v>
      </c>
      <c r="E175" s="8" t="s">
        <v>43</v>
      </c>
      <c r="F175" s="8"/>
      <c r="G175" s="8"/>
      <c r="H175" s="8"/>
      <c r="I175" s="8"/>
      <c r="J175" s="8" t="s">
        <v>45</v>
      </c>
      <c r="K175" s="8" t="s">
        <v>46</v>
      </c>
      <c r="L175" s="8" t="s">
        <v>47</v>
      </c>
      <c r="M175" s="8" t="s">
        <v>48</v>
      </c>
      <c r="N175" s="8" t="s">
        <v>49</v>
      </c>
      <c r="O175" s="8" t="s">
        <v>50</v>
      </c>
      <c r="P175" s="8" t="s">
        <v>51</v>
      </c>
      <c r="Q175" s="8"/>
      <c r="R175" s="8" t="s">
        <v>743</v>
      </c>
      <c r="S175" s="8" t="s">
        <v>744</v>
      </c>
      <c r="T175" s="5">
        <v>46153</v>
      </c>
      <c r="U175" s="8" t="s">
        <v>69</v>
      </c>
      <c r="V175" s="8" t="s">
        <v>70</v>
      </c>
      <c r="W175" s="8" t="s">
        <v>63</v>
      </c>
      <c r="X175" s="8"/>
      <c r="Y175" s="8"/>
      <c r="Z175" s="8"/>
      <c r="AA175" s="8" t="s">
        <v>56</v>
      </c>
      <c r="AB175" s="8"/>
      <c r="AC175" s="8"/>
      <c r="AD175" s="8"/>
      <c r="AE175" s="8"/>
      <c r="AF175" s="5"/>
      <c r="AG175" s="5"/>
      <c r="AH175" s="5"/>
      <c r="AI175" s="8" t="s">
        <v>74</v>
      </c>
      <c r="AJ175" s="8"/>
      <c r="AK175" s="8"/>
      <c r="AL175" s="8"/>
      <c r="AM175" s="8" t="s">
        <v>44</v>
      </c>
      <c r="AN175" s="8"/>
      <c r="AO175" s="8"/>
    </row>
    <row r="176" spans="1:41" ht="28.5">
      <c r="A176" s="7" t="s">
        <v>1002</v>
      </c>
      <c r="B176" s="5">
        <v>46071</v>
      </c>
      <c r="C176" s="17" t="str">
        <f ca="1">IF(B176="","",IF(OR(TRIM(R176)="En curso",TRIM(R176)="En proceso de ingreso"),TODAY()-B176,"Cerrada"))</f>
        <v>Cerrada</v>
      </c>
      <c r="D176" s="8" t="s">
        <v>42</v>
      </c>
      <c r="E176" s="8" t="s">
        <v>43</v>
      </c>
      <c r="F176" s="8"/>
      <c r="G176" s="8"/>
      <c r="H176" s="8"/>
      <c r="I176" s="8"/>
      <c r="J176" s="8" t="s">
        <v>45</v>
      </c>
      <c r="K176" s="8" t="s">
        <v>46</v>
      </c>
      <c r="L176" s="8" t="s">
        <v>47</v>
      </c>
      <c r="M176" s="8" t="s">
        <v>48</v>
      </c>
      <c r="N176" s="8" t="s">
        <v>49</v>
      </c>
      <c r="O176" s="8" t="s">
        <v>50</v>
      </c>
      <c r="P176" s="8" t="s">
        <v>51</v>
      </c>
      <c r="Q176" s="8"/>
      <c r="R176" s="8" t="s">
        <v>52</v>
      </c>
      <c r="S176" s="8" t="s">
        <v>53</v>
      </c>
      <c r="T176" s="8"/>
      <c r="U176" s="8" t="s">
        <v>69</v>
      </c>
      <c r="V176" s="8" t="s">
        <v>70</v>
      </c>
      <c r="W176" s="8" t="s">
        <v>63</v>
      </c>
      <c r="X176" s="8"/>
      <c r="Y176" s="8"/>
      <c r="Z176" s="8"/>
      <c r="AA176" s="8" t="s">
        <v>56</v>
      </c>
      <c r="AB176" s="8"/>
      <c r="AC176" s="8"/>
      <c r="AD176" s="8" t="s">
        <v>57</v>
      </c>
      <c r="AE176" s="8" t="s">
        <v>1003</v>
      </c>
      <c r="AF176" s="5">
        <v>46122</v>
      </c>
      <c r="AG176" s="5">
        <v>46128</v>
      </c>
      <c r="AH176" s="5"/>
      <c r="AI176" s="8" t="s">
        <v>74</v>
      </c>
      <c r="AJ176" s="8" t="s">
        <v>1004</v>
      </c>
      <c r="AK176" s="8" t="s">
        <v>1000</v>
      </c>
      <c r="AL176" s="8" t="s">
        <v>61</v>
      </c>
      <c r="AM176" s="8" t="s">
        <v>44</v>
      </c>
      <c r="AN176" s="8"/>
      <c r="AO176" s="8"/>
    </row>
    <row r="177" spans="1:41" ht="28.5">
      <c r="A177" s="7" t="s">
        <v>1005</v>
      </c>
      <c r="B177" s="5">
        <v>46071</v>
      </c>
      <c r="C177" s="17" t="str">
        <f ca="1">IF(B177="","",IF(OR(TRIM(R177)="En curso",TRIM(R177)="En proceso de ingreso"),TODAY()-B177,"Cerrada"))</f>
        <v>Cerrada</v>
      </c>
      <c r="D177" s="8" t="s">
        <v>42</v>
      </c>
      <c r="E177" s="8" t="s">
        <v>43</v>
      </c>
      <c r="F177" s="8"/>
      <c r="G177" s="8"/>
      <c r="H177" s="8"/>
      <c r="I177" s="8"/>
      <c r="J177" s="8" t="s">
        <v>45</v>
      </c>
      <c r="K177" s="8" t="s">
        <v>46</v>
      </c>
      <c r="L177" s="8" t="s">
        <v>47</v>
      </c>
      <c r="M177" s="8" t="s">
        <v>48</v>
      </c>
      <c r="N177" s="8" t="s">
        <v>49</v>
      </c>
      <c r="O177" s="8" t="s">
        <v>50</v>
      </c>
      <c r="P177" s="8" t="s">
        <v>51</v>
      </c>
      <c r="Q177" s="8"/>
      <c r="R177" s="8" t="s">
        <v>52</v>
      </c>
      <c r="S177" s="8" t="s">
        <v>53</v>
      </c>
      <c r="T177" s="8"/>
      <c r="U177" s="8" t="s">
        <v>69</v>
      </c>
      <c r="V177" s="8" t="s">
        <v>70</v>
      </c>
      <c r="W177" s="8" t="s">
        <v>63</v>
      </c>
      <c r="X177" s="8"/>
      <c r="Y177" s="8"/>
      <c r="Z177" s="8"/>
      <c r="AA177" s="8" t="s">
        <v>56</v>
      </c>
      <c r="AB177" s="8"/>
      <c r="AC177" s="8"/>
      <c r="AD177" s="8" t="s">
        <v>57</v>
      </c>
      <c r="AE177" s="8" t="s">
        <v>1003</v>
      </c>
      <c r="AF177" s="5">
        <v>46126</v>
      </c>
      <c r="AG177" s="5">
        <v>46128</v>
      </c>
      <c r="AH177" s="5"/>
      <c r="AI177" s="8" t="s">
        <v>74</v>
      </c>
      <c r="AJ177" s="8" t="s">
        <v>1006</v>
      </c>
      <c r="AK177" s="8" t="s">
        <v>1000</v>
      </c>
      <c r="AL177" s="8" t="s">
        <v>61</v>
      </c>
      <c r="AM177" s="8" t="s">
        <v>44</v>
      </c>
      <c r="AN177" s="8"/>
      <c r="AO177" s="8"/>
    </row>
    <row r="178" spans="1:41" hidden="1">
      <c r="A178" s="7" t="s">
        <v>1007</v>
      </c>
      <c r="B178" s="5">
        <v>46073</v>
      </c>
      <c r="C178" s="17">
        <f ca="1">IF(B178="","",IF(OR(TRIM(R178)="En curso",TRIM(R178)="En proceso de ingreso"),TODAY()-B178,"Cerrada"))</f>
        <v>67</v>
      </c>
      <c r="D178" s="8" t="s">
        <v>42</v>
      </c>
      <c r="E178" s="8" t="s">
        <v>43</v>
      </c>
      <c r="F178" s="8"/>
      <c r="G178" s="8"/>
      <c r="H178" s="8"/>
      <c r="I178" s="8"/>
      <c r="J178" s="8" t="s">
        <v>45</v>
      </c>
      <c r="K178" s="8"/>
      <c r="L178" s="8" t="s">
        <v>47</v>
      </c>
      <c r="M178" s="8" t="s">
        <v>48</v>
      </c>
      <c r="N178" s="8" t="s">
        <v>49</v>
      </c>
      <c r="O178" s="8" t="s">
        <v>50</v>
      </c>
      <c r="P178" s="8" t="s">
        <v>51</v>
      </c>
      <c r="Q178" s="8"/>
      <c r="R178" s="8" t="s">
        <v>743</v>
      </c>
      <c r="S178" s="8" t="s">
        <v>744</v>
      </c>
      <c r="T178" s="5">
        <v>46153</v>
      </c>
      <c r="U178" s="8" t="s">
        <v>69</v>
      </c>
      <c r="V178" s="8" t="s">
        <v>70</v>
      </c>
      <c r="W178" s="8" t="s">
        <v>54</v>
      </c>
      <c r="X178" s="8">
        <v>157853</v>
      </c>
      <c r="Y178" s="8" t="s">
        <v>1008</v>
      </c>
      <c r="Z178" s="8" t="s">
        <v>941</v>
      </c>
      <c r="AA178" s="8" t="s">
        <v>56</v>
      </c>
      <c r="AB178" s="8"/>
      <c r="AC178" s="8"/>
      <c r="AD178" s="8"/>
      <c r="AE178" s="8"/>
      <c r="AF178" s="8"/>
      <c r="AG178" s="8"/>
      <c r="AH178" s="5"/>
      <c r="AI178" s="8"/>
      <c r="AJ178" s="8"/>
      <c r="AK178" s="8"/>
      <c r="AL178" s="8"/>
      <c r="AM178" s="8"/>
      <c r="AN178" s="8"/>
      <c r="AO178" s="8"/>
    </row>
    <row r="179" spans="1:41" hidden="1">
      <c r="A179" s="7" t="s">
        <v>1009</v>
      </c>
      <c r="B179" s="5">
        <v>46077</v>
      </c>
      <c r="C179" s="17">
        <f ca="1">IF(B179="","",IF(OR(TRIM(R179)="En curso",TRIM(R179)="En proceso de ingreso"),TODAY()-B179,"Cerrada"))</f>
        <v>63</v>
      </c>
      <c r="D179" s="8" t="s">
        <v>42</v>
      </c>
      <c r="E179" s="8" t="s">
        <v>43</v>
      </c>
      <c r="F179" s="8"/>
      <c r="G179" s="8"/>
      <c r="H179" s="8"/>
      <c r="I179" s="8"/>
      <c r="J179" s="8" t="s">
        <v>45</v>
      </c>
      <c r="K179" s="8"/>
      <c r="L179" s="8" t="s">
        <v>47</v>
      </c>
      <c r="M179" s="8" t="s">
        <v>48</v>
      </c>
      <c r="N179" s="8" t="s">
        <v>49</v>
      </c>
      <c r="O179" s="8" t="s">
        <v>50</v>
      </c>
      <c r="P179" s="8" t="s">
        <v>51</v>
      </c>
      <c r="Q179" s="8"/>
      <c r="R179" s="8" t="s">
        <v>743</v>
      </c>
      <c r="S179" s="8" t="s">
        <v>744</v>
      </c>
      <c r="T179" s="5">
        <v>46153</v>
      </c>
      <c r="U179" s="8" t="s">
        <v>69</v>
      </c>
      <c r="V179" s="8" t="s">
        <v>70</v>
      </c>
      <c r="W179" s="8" t="s">
        <v>54</v>
      </c>
      <c r="X179" s="8">
        <v>1002</v>
      </c>
      <c r="Y179" s="8" t="s">
        <v>1010</v>
      </c>
      <c r="Z179" s="8" t="s">
        <v>941</v>
      </c>
      <c r="AA179" s="8" t="s">
        <v>56</v>
      </c>
      <c r="AB179" s="8"/>
      <c r="AC179" s="8"/>
      <c r="AD179" s="8"/>
      <c r="AE179" s="8"/>
      <c r="AF179" s="8"/>
      <c r="AG179" s="8"/>
      <c r="AH179" s="5"/>
      <c r="AI179" s="8"/>
      <c r="AJ179" s="8"/>
      <c r="AK179" s="8"/>
      <c r="AL179" s="8"/>
      <c r="AM179" s="8"/>
      <c r="AN179" s="8"/>
      <c r="AO179" s="8"/>
    </row>
    <row r="180" spans="1:41" hidden="1">
      <c r="A180" s="7" t="s">
        <v>1011</v>
      </c>
      <c r="B180" s="5">
        <v>46079</v>
      </c>
      <c r="C180" s="17">
        <f ca="1">IF(B180="","",IF(OR(TRIM(R180)="En curso",TRIM(R180)="En proceso de ingreso"),TODAY()-B180,"Cerrada"))</f>
        <v>61</v>
      </c>
      <c r="D180" s="8" t="s">
        <v>42</v>
      </c>
      <c r="E180" s="8" t="s">
        <v>43</v>
      </c>
      <c r="F180" s="8"/>
      <c r="G180" s="8"/>
      <c r="H180" s="8"/>
      <c r="I180" s="8"/>
      <c r="J180" s="8" t="s">
        <v>45</v>
      </c>
      <c r="K180" s="8"/>
      <c r="L180" s="8" t="s">
        <v>47</v>
      </c>
      <c r="M180" s="8" t="s">
        <v>48</v>
      </c>
      <c r="N180" s="8" t="s">
        <v>49</v>
      </c>
      <c r="O180" s="8" t="s">
        <v>50</v>
      </c>
      <c r="P180" s="8" t="s">
        <v>51</v>
      </c>
      <c r="Q180" s="8"/>
      <c r="R180" s="8" t="s">
        <v>743</v>
      </c>
      <c r="S180" s="8" t="s">
        <v>744</v>
      </c>
      <c r="T180" s="5">
        <v>46153</v>
      </c>
      <c r="U180" s="8" t="s">
        <v>69</v>
      </c>
      <c r="V180" s="8" t="s">
        <v>70</v>
      </c>
      <c r="W180" s="8" t="s">
        <v>54</v>
      </c>
      <c r="X180" s="8">
        <v>154670</v>
      </c>
      <c r="Y180" s="8" t="s">
        <v>1012</v>
      </c>
      <c r="Z180" s="8" t="s">
        <v>941</v>
      </c>
      <c r="AA180" s="8" t="s">
        <v>56</v>
      </c>
      <c r="AB180" s="8"/>
      <c r="AC180" s="8"/>
      <c r="AD180" s="8"/>
      <c r="AE180" s="8"/>
      <c r="AF180" s="8"/>
      <c r="AG180" s="8"/>
      <c r="AH180" s="5"/>
      <c r="AI180" s="8"/>
      <c r="AJ180" s="8"/>
      <c r="AK180" s="8"/>
      <c r="AL180" s="8"/>
      <c r="AM180" s="8"/>
      <c r="AN180" s="8"/>
      <c r="AO180" s="8"/>
    </row>
    <row r="181" spans="1:41" ht="28.5">
      <c r="A181" s="7" t="s">
        <v>1013</v>
      </c>
      <c r="B181" s="5">
        <v>46071</v>
      </c>
      <c r="C181" s="17" t="str">
        <f ca="1">IF(B181="","",IF(OR(TRIM(R181)="En curso",TRIM(R181)="En proceso de ingreso"),TODAY()-B181,"Cerrada"))</f>
        <v>Cerrada</v>
      </c>
      <c r="D181" s="8" t="s">
        <v>104</v>
      </c>
      <c r="E181" s="8" t="s">
        <v>43</v>
      </c>
      <c r="F181" s="8"/>
      <c r="G181" s="8"/>
      <c r="H181" s="8"/>
      <c r="I181" s="8"/>
      <c r="J181" s="8" t="s">
        <v>145</v>
      </c>
      <c r="K181" s="8" t="s">
        <v>1014</v>
      </c>
      <c r="L181" s="13" t="s">
        <v>48</v>
      </c>
      <c r="M181" s="13" t="s">
        <v>161</v>
      </c>
      <c r="N181" s="8" t="s">
        <v>469</v>
      </c>
      <c r="O181" s="8" t="s">
        <v>1015</v>
      </c>
      <c r="P181" s="8" t="s">
        <v>978</v>
      </c>
      <c r="Q181" s="8"/>
      <c r="R181" s="8" t="s">
        <v>52</v>
      </c>
      <c r="S181" s="8" t="s">
        <v>53</v>
      </c>
      <c r="T181" s="8"/>
      <c r="U181" s="8" t="s">
        <v>70</v>
      </c>
      <c r="V181" s="8" t="s">
        <v>472</v>
      </c>
      <c r="W181" s="8" t="s">
        <v>54</v>
      </c>
      <c r="X181" s="8"/>
      <c r="Y181" s="8" t="s">
        <v>1016</v>
      </c>
      <c r="Z181" s="8"/>
      <c r="AA181" s="8" t="s">
        <v>56</v>
      </c>
      <c r="AB181" s="8"/>
      <c r="AC181" s="8"/>
      <c r="AD181" s="8"/>
      <c r="AE181" s="8" t="s">
        <v>113</v>
      </c>
      <c r="AF181" s="5">
        <v>46111</v>
      </c>
      <c r="AG181" s="5">
        <v>46118</v>
      </c>
      <c r="AH181" s="5" t="s">
        <v>73</v>
      </c>
      <c r="AI181" s="8" t="s">
        <v>762</v>
      </c>
      <c r="AJ181" s="8" t="s">
        <v>1017</v>
      </c>
      <c r="AK181" s="8" t="s">
        <v>1018</v>
      </c>
      <c r="AL181" s="8" t="s">
        <v>116</v>
      </c>
      <c r="AM181" s="8"/>
      <c r="AN181" s="8" t="s">
        <v>77</v>
      </c>
      <c r="AO181" s="8"/>
    </row>
    <row r="182" spans="1:41" ht="28.5" hidden="1">
      <c r="A182" s="7" t="s">
        <v>1019</v>
      </c>
      <c r="B182" s="5">
        <v>46071</v>
      </c>
      <c r="C182" s="17" t="str">
        <f ca="1">IF(B182="","",IF(OR(TRIM(R182)="En curso",TRIM(R182)="En proceso de ingreso"),TODAY()-B182,"Cerrada"))</f>
        <v>Cerrada</v>
      </c>
      <c r="D182" s="8" t="s">
        <v>42</v>
      </c>
      <c r="E182" s="8" t="s">
        <v>43</v>
      </c>
      <c r="F182" s="8"/>
      <c r="G182" s="8"/>
      <c r="H182" s="8"/>
      <c r="I182" s="8"/>
      <c r="J182" s="8" t="s">
        <v>190</v>
      </c>
      <c r="K182" s="8"/>
      <c r="L182" s="14" t="s">
        <v>249</v>
      </c>
      <c r="M182" s="14" t="s">
        <v>249</v>
      </c>
      <c r="N182" s="8" t="s">
        <v>170</v>
      </c>
      <c r="O182" s="8" t="s">
        <v>1020</v>
      </c>
      <c r="P182" s="8" t="s">
        <v>804</v>
      </c>
      <c r="Q182" s="8"/>
      <c r="R182" s="8" t="s">
        <v>754</v>
      </c>
      <c r="S182" s="8" t="s">
        <v>754</v>
      </c>
      <c r="T182" s="8"/>
      <c r="U182" s="8" t="s">
        <v>69</v>
      </c>
      <c r="V182" s="8" t="s">
        <v>70</v>
      </c>
      <c r="W182" s="8" t="s">
        <v>54</v>
      </c>
      <c r="X182" s="8"/>
      <c r="Y182" s="8" t="s">
        <v>1021</v>
      </c>
      <c r="Z182" s="8"/>
      <c r="AA182" s="8" t="s">
        <v>56</v>
      </c>
      <c r="AB182" s="8"/>
      <c r="AC182" s="8"/>
      <c r="AD182" s="8" t="s">
        <v>1022</v>
      </c>
      <c r="AE182" s="8" t="s">
        <v>190</v>
      </c>
      <c r="AF182" s="5">
        <v>46094</v>
      </c>
      <c r="AG182" s="8"/>
      <c r="AH182" s="5" t="s">
        <v>73</v>
      </c>
      <c r="AI182" s="8"/>
      <c r="AJ182" s="8" t="s">
        <v>1023</v>
      </c>
      <c r="AK182" s="8" t="s">
        <v>1024</v>
      </c>
      <c r="AL182" s="8" t="s">
        <v>809</v>
      </c>
      <c r="AM182" s="8" t="s">
        <v>77</v>
      </c>
      <c r="AN182" s="8" t="s">
        <v>77</v>
      </c>
      <c r="AO182" s="8" t="s">
        <v>1025</v>
      </c>
    </row>
    <row r="183" spans="1:41" ht="28.5" hidden="1">
      <c r="A183" s="7" t="s">
        <v>1026</v>
      </c>
      <c r="B183" s="5">
        <v>46052</v>
      </c>
      <c r="C183" s="17">
        <f ca="1">IF(B183="","",IF(OR(TRIM(R183)="En curso",TRIM(R183)="En proceso de ingreso"),TODAY()-B183,"Cerrada"))</f>
        <v>88</v>
      </c>
      <c r="D183" s="21" t="s">
        <v>104</v>
      </c>
      <c r="E183" s="8" t="s">
        <v>43</v>
      </c>
      <c r="F183" s="8"/>
      <c r="G183" s="8"/>
      <c r="H183" s="8"/>
      <c r="I183" s="8"/>
      <c r="J183" s="8" t="s">
        <v>145</v>
      </c>
      <c r="K183" s="8" t="s">
        <v>146</v>
      </c>
      <c r="L183" s="8" t="s">
        <v>198</v>
      </c>
      <c r="M183" s="8" t="s">
        <v>199</v>
      </c>
      <c r="N183" s="8" t="s">
        <v>108</v>
      </c>
      <c r="O183" s="8" t="s">
        <v>1027</v>
      </c>
      <c r="P183" s="8" t="s">
        <v>202</v>
      </c>
      <c r="Q183" s="8"/>
      <c r="R183" s="8" t="s">
        <v>743</v>
      </c>
      <c r="S183" s="8" t="s">
        <v>744</v>
      </c>
      <c r="T183" s="5">
        <v>46153</v>
      </c>
      <c r="U183" s="8" t="s">
        <v>69</v>
      </c>
      <c r="V183" s="8" t="s">
        <v>70</v>
      </c>
      <c r="W183" s="8" t="s">
        <v>54</v>
      </c>
      <c r="X183" s="8"/>
      <c r="Y183" s="8" t="s">
        <v>1028</v>
      </c>
      <c r="Z183" s="8"/>
      <c r="AA183" s="8" t="s">
        <v>56</v>
      </c>
      <c r="AB183" s="8"/>
      <c r="AC183" s="8"/>
      <c r="AD183" s="8" t="s">
        <v>1029</v>
      </c>
      <c r="AE183" s="8" t="s">
        <v>154</v>
      </c>
      <c r="AF183" s="8"/>
      <c r="AG183" s="8"/>
      <c r="AH183" s="5"/>
      <c r="AI183" s="8"/>
      <c r="AJ183" s="8"/>
      <c r="AK183" s="8" t="s">
        <v>1030</v>
      </c>
      <c r="AL183" s="8" t="s">
        <v>207</v>
      </c>
      <c r="AM183" s="8" t="s">
        <v>77</v>
      </c>
      <c r="AN183" s="8"/>
      <c r="AO183" s="8" t="s">
        <v>1031</v>
      </c>
    </row>
    <row r="184" spans="1:41" ht="28.5">
      <c r="A184" s="7" t="s">
        <v>1032</v>
      </c>
      <c r="B184" s="5">
        <v>46072</v>
      </c>
      <c r="C184" s="17" t="str">
        <f ca="1">IF(B184="","",IF(OR(TRIM(R184)="En curso",TRIM(R184)="En proceso de ingreso"),TODAY()-B184,"Cerrada"))</f>
        <v>Cerrada</v>
      </c>
      <c r="D184" s="8" t="s">
        <v>104</v>
      </c>
      <c r="E184" s="8" t="s">
        <v>43</v>
      </c>
      <c r="F184" s="8"/>
      <c r="G184" s="8" t="s">
        <v>44</v>
      </c>
      <c r="H184" s="8"/>
      <c r="I184" s="8"/>
      <c r="J184" s="8" t="s">
        <v>190</v>
      </c>
      <c r="K184" s="8"/>
      <c r="L184" s="8" t="s">
        <v>249</v>
      </c>
      <c r="M184" s="8" t="s">
        <v>249</v>
      </c>
      <c r="N184" s="8" t="s">
        <v>108</v>
      </c>
      <c r="O184" s="8" t="s">
        <v>1033</v>
      </c>
      <c r="P184" s="8" t="s">
        <v>804</v>
      </c>
      <c r="Q184" s="8"/>
      <c r="R184" s="8" t="s">
        <v>52</v>
      </c>
      <c r="S184" s="8" t="s">
        <v>53</v>
      </c>
      <c r="T184" s="8"/>
      <c r="U184" s="8" t="s">
        <v>70</v>
      </c>
      <c r="V184" s="8" t="s">
        <v>472</v>
      </c>
      <c r="W184" s="8" t="s">
        <v>54</v>
      </c>
      <c r="X184" s="8"/>
      <c r="Y184" s="8" t="s">
        <v>1034</v>
      </c>
      <c r="Z184" s="8"/>
      <c r="AA184" s="8" t="s">
        <v>56</v>
      </c>
      <c r="AB184" s="8"/>
      <c r="AC184" s="8"/>
      <c r="AD184" s="8" t="s">
        <v>1035</v>
      </c>
      <c r="AE184" s="8" t="s">
        <v>190</v>
      </c>
      <c r="AF184" s="5">
        <v>46094</v>
      </c>
      <c r="AG184" s="5">
        <v>46098</v>
      </c>
      <c r="AH184" s="5" t="s">
        <v>73</v>
      </c>
      <c r="AI184" s="8" t="s">
        <v>762</v>
      </c>
      <c r="AJ184" s="8" t="s">
        <v>1036</v>
      </c>
      <c r="AK184" s="8" t="s">
        <v>1037</v>
      </c>
      <c r="AL184" s="8" t="s">
        <v>809</v>
      </c>
      <c r="AM184" s="8" t="s">
        <v>77</v>
      </c>
      <c r="AN184" s="8" t="s">
        <v>77</v>
      </c>
      <c r="AO184" s="8" t="s">
        <v>1038</v>
      </c>
    </row>
    <row r="185" spans="1:41" hidden="1">
      <c r="A185" s="7" t="s">
        <v>1039</v>
      </c>
      <c r="B185" s="5">
        <v>46073</v>
      </c>
      <c r="C185" s="17" t="str">
        <f ca="1">IF(B185="","",IF(OR(TRIM(R185)="En curso",TRIM(R185)="En proceso de ingreso"),TODAY()-B185,"Cerrada"))</f>
        <v>Cerrada</v>
      </c>
      <c r="D185" s="8" t="s">
        <v>467</v>
      </c>
      <c r="E185" s="8" t="s">
        <v>1040</v>
      </c>
      <c r="F185" s="8"/>
      <c r="G185" s="8" t="s">
        <v>44</v>
      </c>
      <c r="H185" s="8" t="s">
        <v>44</v>
      </c>
      <c r="I185" s="8"/>
      <c r="J185" s="8" t="s">
        <v>45</v>
      </c>
      <c r="K185" s="8"/>
      <c r="L185" s="8" t="s">
        <v>1041</v>
      </c>
      <c r="M185" s="8" t="s">
        <v>1041</v>
      </c>
      <c r="N185" s="8" t="s">
        <v>238</v>
      </c>
      <c r="O185" s="8" t="s">
        <v>1042</v>
      </c>
      <c r="P185" s="8" t="s">
        <v>1043</v>
      </c>
      <c r="Q185" s="8"/>
      <c r="R185" s="8" t="s">
        <v>132</v>
      </c>
      <c r="S185" s="8" t="s">
        <v>132</v>
      </c>
      <c r="T185" s="8"/>
      <c r="U185" s="8"/>
      <c r="V185" s="8"/>
      <c r="W185" s="8" t="s">
        <v>63</v>
      </c>
      <c r="X185" s="8"/>
      <c r="Y185" s="8"/>
      <c r="Z185" s="8"/>
      <c r="AA185" s="8" t="s">
        <v>56</v>
      </c>
      <c r="AB185" s="8"/>
      <c r="AC185" s="8"/>
      <c r="AD185" s="8"/>
      <c r="AE185" s="8"/>
      <c r="AF185" s="8"/>
      <c r="AG185" s="8"/>
      <c r="AH185" s="5"/>
      <c r="AI185" s="8"/>
      <c r="AJ185" s="8"/>
      <c r="AK185" s="8"/>
      <c r="AL185" s="8"/>
      <c r="AM185" s="8"/>
      <c r="AN185" s="8"/>
      <c r="AO185" s="8"/>
    </row>
    <row r="186" spans="1:41" hidden="1">
      <c r="A186" s="7" t="s">
        <v>1044</v>
      </c>
      <c r="B186" s="5">
        <v>46073</v>
      </c>
      <c r="C186" s="17" t="str">
        <f ca="1">IF(B186="","",IF(OR(TRIM(R186)="En curso",TRIM(R186)="En proceso de ingreso"),TODAY()-B186,"Cerrada"))</f>
        <v>Cerrada</v>
      </c>
      <c r="D186" s="8" t="s">
        <v>467</v>
      </c>
      <c r="E186" s="8" t="s">
        <v>43</v>
      </c>
      <c r="F186" s="8"/>
      <c r="G186" s="8" t="s">
        <v>44</v>
      </c>
      <c r="H186" s="8" t="s">
        <v>44</v>
      </c>
      <c r="I186" s="8"/>
      <c r="J186" s="8" t="s">
        <v>45</v>
      </c>
      <c r="K186" s="8"/>
      <c r="L186" s="8" t="s">
        <v>1041</v>
      </c>
      <c r="M186" s="8" t="s">
        <v>1041</v>
      </c>
      <c r="N186" s="8" t="s">
        <v>108</v>
      </c>
      <c r="O186" s="8" t="s">
        <v>1045</v>
      </c>
      <c r="P186" s="8" t="s">
        <v>1043</v>
      </c>
      <c r="Q186" s="8"/>
      <c r="R186" s="8" t="s">
        <v>754</v>
      </c>
      <c r="S186" s="8" t="s">
        <v>754</v>
      </c>
      <c r="T186" s="8"/>
      <c r="U186" s="8"/>
      <c r="V186" s="8"/>
      <c r="W186" s="8" t="s">
        <v>54</v>
      </c>
      <c r="X186" s="8"/>
      <c r="Y186" s="8" t="s">
        <v>1046</v>
      </c>
      <c r="Z186" s="8"/>
      <c r="AA186" s="8" t="s">
        <v>56</v>
      </c>
      <c r="AB186" s="8"/>
      <c r="AC186" s="8"/>
      <c r="AD186" s="8"/>
      <c r="AE186" s="8"/>
      <c r="AF186" s="8"/>
      <c r="AG186" s="8"/>
      <c r="AH186" s="5"/>
      <c r="AI186" s="8"/>
      <c r="AJ186" s="8"/>
      <c r="AK186" s="8"/>
      <c r="AL186" s="8"/>
      <c r="AM186" s="8"/>
      <c r="AN186" s="8"/>
      <c r="AO186" s="8"/>
    </row>
    <row r="187" spans="1:41" ht="28.5">
      <c r="A187" s="7" t="s">
        <v>1047</v>
      </c>
      <c r="B187" s="5">
        <v>46076</v>
      </c>
      <c r="C187" s="17" t="str">
        <f ca="1">IF(B187="","",IF(OR(TRIM(R187)="En curso",TRIM(R187)="En proceso de ingreso"),TODAY()-B187,"Cerrada"))</f>
        <v>Cerrada</v>
      </c>
      <c r="D187" s="8" t="s">
        <v>144</v>
      </c>
      <c r="E187" s="8" t="s">
        <v>43</v>
      </c>
      <c r="F187" s="8"/>
      <c r="G187" s="8"/>
      <c r="H187" s="8"/>
      <c r="I187" s="8"/>
      <c r="J187" s="8" t="s">
        <v>180</v>
      </c>
      <c r="K187" s="8" t="s">
        <v>659</v>
      </c>
      <c r="L187" s="8" t="s">
        <v>332</v>
      </c>
      <c r="M187" s="8" t="s">
        <v>249</v>
      </c>
      <c r="N187" s="8" t="s">
        <v>170</v>
      </c>
      <c r="O187" s="8" t="s">
        <v>660</v>
      </c>
      <c r="P187" s="8" t="s">
        <v>947</v>
      </c>
      <c r="Q187" s="8"/>
      <c r="R187" s="8" t="s">
        <v>52</v>
      </c>
      <c r="S187" s="8" t="s">
        <v>53</v>
      </c>
      <c r="T187" s="8"/>
      <c r="U187" s="8" t="s">
        <v>69</v>
      </c>
      <c r="V187" s="8" t="s">
        <v>70</v>
      </c>
      <c r="W187" s="8" t="s">
        <v>54</v>
      </c>
      <c r="X187" s="8"/>
      <c r="Y187" s="8" t="s">
        <v>1048</v>
      </c>
      <c r="Z187" s="8"/>
      <c r="AA187" s="8" t="s">
        <v>173</v>
      </c>
      <c r="AB187" s="8"/>
      <c r="AC187" s="8"/>
      <c r="AD187" s="8" t="s">
        <v>1049</v>
      </c>
      <c r="AE187" s="8" t="s">
        <v>664</v>
      </c>
      <c r="AF187" s="5">
        <v>46084</v>
      </c>
      <c r="AG187" s="5">
        <v>46090</v>
      </c>
      <c r="AH187" s="5"/>
      <c r="AI187" s="8"/>
      <c r="AJ187" s="8" t="s">
        <v>1050</v>
      </c>
      <c r="AK187" s="8" t="s">
        <v>666</v>
      </c>
      <c r="AL187" s="8" t="s">
        <v>61</v>
      </c>
      <c r="AM187" s="8" t="s">
        <v>77</v>
      </c>
      <c r="AN187" s="8" t="s">
        <v>77</v>
      </c>
      <c r="AO187" s="8"/>
    </row>
    <row r="188" spans="1:41" ht="28.5">
      <c r="A188" s="7" t="s">
        <v>1051</v>
      </c>
      <c r="B188" s="5">
        <v>46076</v>
      </c>
      <c r="C188" s="17" t="str">
        <f ca="1">IF(B188="","",IF(OR(TRIM(R188)="En curso",TRIM(R188)="En proceso de ingreso"),TODAY()-B188,"Cerrada"))</f>
        <v>Cerrada</v>
      </c>
      <c r="D188" s="8" t="s">
        <v>42</v>
      </c>
      <c r="E188" s="8" t="s">
        <v>43</v>
      </c>
      <c r="F188" s="8"/>
      <c r="G188" s="8"/>
      <c r="H188" s="8"/>
      <c r="I188" s="8"/>
      <c r="J188" s="8" t="s">
        <v>180</v>
      </c>
      <c r="K188" s="8" t="s">
        <v>659</v>
      </c>
      <c r="L188" s="8" t="s">
        <v>332</v>
      </c>
      <c r="M188" s="8" t="s">
        <v>249</v>
      </c>
      <c r="N188" s="8" t="s">
        <v>170</v>
      </c>
      <c r="O188" s="8" t="s">
        <v>660</v>
      </c>
      <c r="P188" s="8" t="s">
        <v>947</v>
      </c>
      <c r="Q188" s="8"/>
      <c r="R188" s="8" t="s">
        <v>52</v>
      </c>
      <c r="S188" s="8" t="s">
        <v>53</v>
      </c>
      <c r="T188" s="5">
        <v>46133</v>
      </c>
      <c r="U188" s="8" t="s">
        <v>69</v>
      </c>
      <c r="V188" s="8" t="s">
        <v>472</v>
      </c>
      <c r="W188" s="8" t="s">
        <v>54</v>
      </c>
      <c r="X188" s="8"/>
      <c r="Y188" s="8" t="s">
        <v>1052</v>
      </c>
      <c r="Z188" s="8" t="s">
        <v>941</v>
      </c>
      <c r="AA188" s="8" t="s">
        <v>56</v>
      </c>
      <c r="AB188" s="8"/>
      <c r="AC188" s="8"/>
      <c r="AD188" s="8" t="s">
        <v>1053</v>
      </c>
      <c r="AE188" s="8" t="s">
        <v>664</v>
      </c>
      <c r="AF188" s="5">
        <v>46119</v>
      </c>
      <c r="AG188" s="8"/>
      <c r="AH188" s="5"/>
      <c r="AI188" s="8"/>
      <c r="AJ188" s="8" t="s">
        <v>1054</v>
      </c>
      <c r="AK188" s="8" t="s">
        <v>1055</v>
      </c>
      <c r="AL188" s="8" t="s">
        <v>61</v>
      </c>
      <c r="AM188" s="8" t="s">
        <v>77</v>
      </c>
      <c r="AN188" s="8" t="s">
        <v>77</v>
      </c>
      <c r="AO188" s="8"/>
    </row>
    <row r="189" spans="1:41">
      <c r="A189" s="7" t="s">
        <v>1056</v>
      </c>
      <c r="B189" s="5">
        <v>46076</v>
      </c>
      <c r="C189" s="17" t="str">
        <f ca="1">IF(B189="","",IF(OR(TRIM(R189)="En curso",TRIM(R189)="En proceso de ingreso"),TODAY()-B189,"Cerrada"))</f>
        <v>Cerrada</v>
      </c>
      <c r="D189" s="8" t="s">
        <v>144</v>
      </c>
      <c r="E189" s="8" t="s">
        <v>43</v>
      </c>
      <c r="F189" s="8"/>
      <c r="G189" s="8"/>
      <c r="H189" s="8"/>
      <c r="I189" s="8"/>
      <c r="J189" s="8" t="s">
        <v>145</v>
      </c>
      <c r="K189" s="8" t="s">
        <v>146</v>
      </c>
      <c r="L189" s="8" t="s">
        <v>198</v>
      </c>
      <c r="M189" s="8" t="s">
        <v>199</v>
      </c>
      <c r="N189" s="8" t="s">
        <v>200</v>
      </c>
      <c r="O189" s="8" t="s">
        <v>201</v>
      </c>
      <c r="P189" s="8" t="s">
        <v>202</v>
      </c>
      <c r="Q189" s="8"/>
      <c r="R189" s="8" t="s">
        <v>52</v>
      </c>
      <c r="S189" s="8" t="s">
        <v>53</v>
      </c>
      <c r="T189" s="8"/>
      <c r="U189" s="8" t="s">
        <v>69</v>
      </c>
      <c r="V189" s="8" t="s">
        <v>139</v>
      </c>
      <c r="W189" s="8" t="s">
        <v>54</v>
      </c>
      <c r="X189" s="8"/>
      <c r="Y189" s="8" t="s">
        <v>1057</v>
      </c>
      <c r="Z189" s="8" t="s">
        <v>941</v>
      </c>
      <c r="AA189" s="8" t="s">
        <v>56</v>
      </c>
      <c r="AB189" s="8"/>
      <c r="AC189" s="8"/>
      <c r="AD189" s="8" t="s">
        <v>856</v>
      </c>
      <c r="AE189" s="8" t="s">
        <v>154</v>
      </c>
      <c r="AF189" s="5">
        <v>46132</v>
      </c>
      <c r="AG189" s="5">
        <v>46132</v>
      </c>
      <c r="AH189" s="5"/>
      <c r="AI189" s="8"/>
      <c r="AJ189" s="8" t="s">
        <v>1058</v>
      </c>
      <c r="AK189" s="8" t="s">
        <v>611</v>
      </c>
      <c r="AL189" s="8" t="s">
        <v>207</v>
      </c>
      <c r="AM189" s="8" t="s">
        <v>77</v>
      </c>
      <c r="AN189" s="8" t="s">
        <v>77</v>
      </c>
      <c r="AO189" s="8"/>
    </row>
    <row r="190" spans="1:41" hidden="1">
      <c r="A190" s="7" t="s">
        <v>1059</v>
      </c>
      <c r="B190" s="5">
        <v>46076</v>
      </c>
      <c r="C190" s="17">
        <f ca="1">IF(B190="","",IF(OR(TRIM(R190)="En curso",TRIM(R190)="En proceso de ingreso"),TODAY()-B190,"Cerrada"))</f>
        <v>64</v>
      </c>
      <c r="D190" s="21" t="s">
        <v>467</v>
      </c>
      <c r="E190" s="8" t="s">
        <v>43</v>
      </c>
      <c r="F190" s="8"/>
      <c r="G190" s="8"/>
      <c r="H190" s="8"/>
      <c r="I190" s="8"/>
      <c r="J190" s="8" t="s">
        <v>180</v>
      </c>
      <c r="K190" s="8" t="s">
        <v>331</v>
      </c>
      <c r="L190" s="8" t="s">
        <v>134</v>
      </c>
      <c r="M190" s="8" t="s">
        <v>135</v>
      </c>
      <c r="N190" s="8" t="s">
        <v>271</v>
      </c>
      <c r="O190" s="8" t="s">
        <v>393</v>
      </c>
      <c r="P190" s="8" t="s">
        <v>722</v>
      </c>
      <c r="Q190" s="8"/>
      <c r="R190" s="8" t="s">
        <v>724</v>
      </c>
      <c r="S190" s="8" t="s">
        <v>725</v>
      </c>
      <c r="T190" s="5">
        <v>46188</v>
      </c>
      <c r="U190" s="8" t="s">
        <v>472</v>
      </c>
      <c r="V190" s="8" t="s">
        <v>70</v>
      </c>
      <c r="W190" s="8" t="s">
        <v>54</v>
      </c>
      <c r="X190" s="8"/>
      <c r="Y190" s="8" t="s">
        <v>1060</v>
      </c>
      <c r="Z190" s="8"/>
      <c r="AA190" s="8" t="s">
        <v>56</v>
      </c>
      <c r="AB190" s="8"/>
      <c r="AC190" s="8"/>
      <c r="AD190" s="8"/>
      <c r="AE190" s="8"/>
      <c r="AF190" s="8"/>
      <c r="AG190" s="8"/>
      <c r="AH190" s="5"/>
      <c r="AI190" s="8"/>
      <c r="AJ190" s="8"/>
      <c r="AK190" s="8"/>
      <c r="AL190" s="8"/>
      <c r="AM190" s="8"/>
      <c r="AN190" s="8"/>
      <c r="AO190" s="8"/>
    </row>
    <row r="191" spans="1:41">
      <c r="A191" s="7" t="s">
        <v>1061</v>
      </c>
      <c r="B191" s="5">
        <v>46078</v>
      </c>
      <c r="C191" s="17" t="str">
        <f ca="1">IF(B191="","",IF(OR(TRIM(R191)="En curso",TRIM(R191)="En proceso de ingreso"),TODAY()-B191,"Cerrada"))</f>
        <v>Cerrada</v>
      </c>
      <c r="D191" s="8" t="s">
        <v>144</v>
      </c>
      <c r="E191" s="8" t="s">
        <v>43</v>
      </c>
      <c r="F191" s="8"/>
      <c r="G191" s="8" t="s">
        <v>44</v>
      </c>
      <c r="H191" s="8" t="s">
        <v>44</v>
      </c>
      <c r="I191" s="8"/>
      <c r="J191" s="8" t="s">
        <v>145</v>
      </c>
      <c r="K191" s="8" t="s">
        <v>146</v>
      </c>
      <c r="L191" s="8" t="s">
        <v>222</v>
      </c>
      <c r="M191" s="8" t="s">
        <v>766</v>
      </c>
      <c r="N191" s="8" t="s">
        <v>223</v>
      </c>
      <c r="O191" s="8" t="s">
        <v>433</v>
      </c>
      <c r="P191" s="8" t="s">
        <v>606</v>
      </c>
      <c r="Q191" s="8"/>
      <c r="R191" s="8" t="s">
        <v>52</v>
      </c>
      <c r="S191" s="8" t="s">
        <v>53</v>
      </c>
      <c r="T191" s="8"/>
      <c r="U191" s="8" t="s">
        <v>69</v>
      </c>
      <c r="V191" s="8" t="s">
        <v>69</v>
      </c>
      <c r="W191" s="8" t="s">
        <v>54</v>
      </c>
      <c r="X191" s="8">
        <v>159255</v>
      </c>
      <c r="Y191" s="8" t="s">
        <v>1062</v>
      </c>
      <c r="Z191" s="8" t="s">
        <v>941</v>
      </c>
      <c r="AA191" s="8" t="s">
        <v>474</v>
      </c>
      <c r="AB191" s="8"/>
      <c r="AC191" s="8"/>
      <c r="AD191" s="8" t="s">
        <v>856</v>
      </c>
      <c r="AE191" s="8" t="s">
        <v>154</v>
      </c>
      <c r="AF191" s="5">
        <v>46132</v>
      </c>
      <c r="AG191" s="5">
        <v>46132</v>
      </c>
      <c r="AH191" s="5"/>
      <c r="AI191" s="8"/>
      <c r="AJ191" s="8" t="s">
        <v>1063</v>
      </c>
      <c r="AK191" s="8" t="s">
        <v>611</v>
      </c>
      <c r="AL191" s="8" t="s">
        <v>207</v>
      </c>
      <c r="AM191" s="8" t="s">
        <v>77</v>
      </c>
      <c r="AN191" s="8" t="s">
        <v>77</v>
      </c>
      <c r="AO191" s="8"/>
    </row>
    <row r="192" spans="1:41">
      <c r="A192" s="7" t="s">
        <v>1064</v>
      </c>
      <c r="B192" s="5">
        <v>46078</v>
      </c>
      <c r="C192" s="17" t="str">
        <f ca="1">IF(B192="","",IF(OR(TRIM(R192)="En curso",TRIM(R192)="En proceso de ingreso"),TODAY()-B192,"Cerrada"))</f>
        <v>Cerrada</v>
      </c>
      <c r="D192" s="8" t="s">
        <v>144</v>
      </c>
      <c r="E192" s="8" t="s">
        <v>43</v>
      </c>
      <c r="F192" s="8"/>
      <c r="G192" s="8"/>
      <c r="H192" s="8"/>
      <c r="I192" s="8"/>
      <c r="J192" s="8" t="s">
        <v>145</v>
      </c>
      <c r="K192" s="8" t="s">
        <v>146</v>
      </c>
      <c r="L192" s="8" t="s">
        <v>222</v>
      </c>
      <c r="M192" s="8" t="s">
        <v>766</v>
      </c>
      <c r="N192" s="8" t="s">
        <v>223</v>
      </c>
      <c r="O192" s="8" t="s">
        <v>433</v>
      </c>
      <c r="P192" s="8" t="s">
        <v>606</v>
      </c>
      <c r="Q192" s="8"/>
      <c r="R192" s="8" t="s">
        <v>52</v>
      </c>
      <c r="S192" s="8" t="s">
        <v>53</v>
      </c>
      <c r="T192" s="8"/>
      <c r="U192" s="8" t="s">
        <v>69</v>
      </c>
      <c r="V192" s="8" t="s">
        <v>472</v>
      </c>
      <c r="W192" s="8" t="s">
        <v>54</v>
      </c>
      <c r="X192" s="8"/>
      <c r="Y192" s="8" t="s">
        <v>1065</v>
      </c>
      <c r="Z192" s="8" t="s">
        <v>1066</v>
      </c>
      <c r="AA192" s="8" t="s">
        <v>474</v>
      </c>
      <c r="AB192" s="8"/>
      <c r="AC192" s="8"/>
      <c r="AD192" s="8" t="s">
        <v>608</v>
      </c>
      <c r="AE192" s="8" t="s">
        <v>154</v>
      </c>
      <c r="AF192" s="5">
        <v>46132</v>
      </c>
      <c r="AG192" s="5">
        <v>46132</v>
      </c>
      <c r="AH192" s="5"/>
      <c r="AI192" s="8"/>
      <c r="AJ192" s="8"/>
      <c r="AK192" s="8" t="s">
        <v>611</v>
      </c>
      <c r="AL192" s="8" t="s">
        <v>207</v>
      </c>
      <c r="AM192" s="8" t="s">
        <v>77</v>
      </c>
      <c r="AN192" s="8" t="s">
        <v>77</v>
      </c>
      <c r="AO192" s="8" t="s">
        <v>1067</v>
      </c>
    </row>
    <row r="193" spans="1:41" ht="28.5" hidden="1">
      <c r="A193" s="7" t="s">
        <v>1068</v>
      </c>
      <c r="B193" s="5">
        <v>46079</v>
      </c>
      <c r="C193" s="17">
        <f ca="1">IF(B193="","",IF(OR(TRIM(R193)="En curso",TRIM(R193)="En proceso de ingreso"),TODAY()-B193,"Cerrada"))</f>
        <v>61</v>
      </c>
      <c r="D193" s="8" t="s">
        <v>467</v>
      </c>
      <c r="E193" s="8" t="s">
        <v>43</v>
      </c>
      <c r="F193" s="8"/>
      <c r="G193" s="8" t="s">
        <v>187</v>
      </c>
      <c r="H193" s="8"/>
      <c r="I193" s="8"/>
      <c r="J193" s="8" t="s">
        <v>180</v>
      </c>
      <c r="K193" s="8"/>
      <c r="L193" s="8" t="s">
        <v>1069</v>
      </c>
      <c r="M193" s="8" t="s">
        <v>161</v>
      </c>
      <c r="N193" s="8" t="s">
        <v>108</v>
      </c>
      <c r="O193" s="8" t="s">
        <v>1070</v>
      </c>
      <c r="P193" s="8" t="s">
        <v>722</v>
      </c>
      <c r="Q193" s="8" t="s">
        <v>723</v>
      </c>
      <c r="R193" s="8" t="s">
        <v>724</v>
      </c>
      <c r="S193" s="8" t="s">
        <v>739</v>
      </c>
      <c r="T193" s="5">
        <v>46188</v>
      </c>
      <c r="U193" s="8" t="s">
        <v>138</v>
      </c>
      <c r="V193" s="8" t="s">
        <v>472</v>
      </c>
      <c r="W193" s="8" t="s">
        <v>63</v>
      </c>
      <c r="X193" s="8"/>
      <c r="Y193" s="8"/>
      <c r="Z193" s="8"/>
      <c r="AA193" s="8" t="s">
        <v>56</v>
      </c>
      <c r="AB193" s="8"/>
      <c r="AC193" s="8"/>
      <c r="AD193" s="8"/>
      <c r="AE193" s="8"/>
      <c r="AF193" s="8"/>
      <c r="AG193" s="8"/>
      <c r="AH193" s="5"/>
      <c r="AI193" s="8"/>
      <c r="AJ193" s="8"/>
      <c r="AK193" s="8"/>
      <c r="AL193" s="8"/>
      <c r="AM193" s="8"/>
      <c r="AN193" s="8"/>
      <c r="AO193" s="8" t="s">
        <v>1071</v>
      </c>
    </row>
    <row r="194" spans="1:41">
      <c r="A194" s="7" t="s">
        <v>1072</v>
      </c>
      <c r="B194" s="5">
        <v>46079</v>
      </c>
      <c r="C194" s="17" t="str">
        <f ca="1">IF(B194="","",IF(OR(TRIM(R194)="En curso",TRIM(R194)="En proceso de ingreso"),TODAY()-B194,"Cerrada"))</f>
        <v>Cerrada</v>
      </c>
      <c r="D194" s="8" t="s">
        <v>144</v>
      </c>
      <c r="E194" s="8" t="s">
        <v>43</v>
      </c>
      <c r="F194" s="8"/>
      <c r="G194" s="8"/>
      <c r="H194" s="8"/>
      <c r="I194" s="8"/>
      <c r="J194" s="8" t="s">
        <v>145</v>
      </c>
      <c r="K194" s="8"/>
      <c r="L194" s="8" t="s">
        <v>222</v>
      </c>
      <c r="M194" s="8" t="s">
        <v>766</v>
      </c>
      <c r="N194" s="8" t="s">
        <v>223</v>
      </c>
      <c r="O194" s="8" t="s">
        <v>433</v>
      </c>
      <c r="P194" s="8" t="s">
        <v>606</v>
      </c>
      <c r="Q194" s="8"/>
      <c r="R194" s="8" t="s">
        <v>52</v>
      </c>
      <c r="S194" s="8" t="s">
        <v>53</v>
      </c>
      <c r="T194" s="5">
        <v>46125</v>
      </c>
      <c r="U194" s="8" t="s">
        <v>69</v>
      </c>
      <c r="V194" s="8" t="s">
        <v>472</v>
      </c>
      <c r="W194" s="8" t="s">
        <v>54</v>
      </c>
      <c r="X194" s="8"/>
      <c r="Y194" s="8" t="s">
        <v>1073</v>
      </c>
      <c r="Z194" s="8" t="s">
        <v>1066</v>
      </c>
      <c r="AA194" s="8" t="s">
        <v>56</v>
      </c>
      <c r="AB194" s="8"/>
      <c r="AC194" s="8"/>
      <c r="AD194" s="8" t="s">
        <v>608</v>
      </c>
      <c r="AE194" s="8" t="s">
        <v>154</v>
      </c>
      <c r="AF194" s="5">
        <v>46132</v>
      </c>
      <c r="AG194" s="5">
        <v>46132</v>
      </c>
      <c r="AH194" s="5"/>
      <c r="AI194" s="8"/>
      <c r="AJ194" s="8" t="s">
        <v>1074</v>
      </c>
      <c r="AK194" s="8" t="s">
        <v>611</v>
      </c>
      <c r="AL194" s="8"/>
      <c r="AM194" s="8"/>
      <c r="AN194" s="8"/>
      <c r="AO194" s="8" t="s">
        <v>1067</v>
      </c>
    </row>
    <row r="195" spans="1:41" ht="28.5">
      <c r="A195" s="7" t="s">
        <v>1075</v>
      </c>
      <c r="B195" s="5">
        <v>46079</v>
      </c>
      <c r="C195" s="17" t="str">
        <f ca="1">IF(B195="","",IF(OR(TRIM(R195)="En curso",TRIM(R195)="En proceso de ingreso"),TODAY()-B195,"Cerrada"))</f>
        <v>Cerrada</v>
      </c>
      <c r="D195" s="8" t="s">
        <v>42</v>
      </c>
      <c r="E195" s="8" t="s">
        <v>43</v>
      </c>
      <c r="F195" s="8"/>
      <c r="G195" s="8"/>
      <c r="H195" s="8"/>
      <c r="I195" s="8"/>
      <c r="J195" s="8" t="s">
        <v>180</v>
      </c>
      <c r="K195" s="8" t="s">
        <v>311</v>
      </c>
      <c r="L195" s="8" t="s">
        <v>332</v>
      </c>
      <c r="M195" s="8" t="s">
        <v>249</v>
      </c>
      <c r="N195" s="8" t="s">
        <v>170</v>
      </c>
      <c r="O195" s="8" t="s">
        <v>660</v>
      </c>
      <c r="P195" s="8" t="s">
        <v>947</v>
      </c>
      <c r="Q195" s="8"/>
      <c r="R195" s="8" t="s">
        <v>52</v>
      </c>
      <c r="S195" s="8" t="s">
        <v>53</v>
      </c>
      <c r="T195" s="5">
        <v>46133</v>
      </c>
      <c r="U195" s="8" t="s">
        <v>69</v>
      </c>
      <c r="V195" s="8" t="s">
        <v>472</v>
      </c>
      <c r="W195" s="8" t="s">
        <v>54</v>
      </c>
      <c r="X195" s="8"/>
      <c r="Y195" s="8" t="s">
        <v>1076</v>
      </c>
      <c r="Z195" s="8"/>
      <c r="AA195" s="8" t="s">
        <v>56</v>
      </c>
      <c r="AB195" s="8"/>
      <c r="AC195" s="8"/>
      <c r="AD195" s="8" t="s">
        <v>1077</v>
      </c>
      <c r="AE195" s="8" t="s">
        <v>664</v>
      </c>
      <c r="AF195" s="5">
        <v>46119</v>
      </c>
      <c r="AG195" s="8"/>
      <c r="AH195" s="5"/>
      <c r="AI195" s="8"/>
      <c r="AJ195" s="8" t="s">
        <v>1078</v>
      </c>
      <c r="AK195" s="8" t="s">
        <v>1055</v>
      </c>
      <c r="AL195" s="8" t="s">
        <v>61</v>
      </c>
      <c r="AM195" s="8" t="s">
        <v>77</v>
      </c>
      <c r="AN195" s="8" t="s">
        <v>77</v>
      </c>
      <c r="AO195" s="8"/>
    </row>
    <row r="196" spans="1:41" ht="28.5">
      <c r="A196" s="7" t="s">
        <v>1079</v>
      </c>
      <c r="B196" s="5">
        <v>46080</v>
      </c>
      <c r="C196" s="17" t="str">
        <f ca="1">IF(B196="","",IF(OR(TRIM(R196)="En curso",TRIM(R196)="En proceso de ingreso"),TODAY()-B196,"Cerrada"))</f>
        <v>Cerrada</v>
      </c>
      <c r="D196" s="8" t="s">
        <v>144</v>
      </c>
      <c r="E196" s="8" t="s">
        <v>43</v>
      </c>
      <c r="F196" s="8"/>
      <c r="G196" s="8"/>
      <c r="H196" s="8"/>
      <c r="I196" s="8"/>
      <c r="J196" s="8" t="s">
        <v>145</v>
      </c>
      <c r="K196" s="8" t="s">
        <v>146</v>
      </c>
      <c r="L196" s="8" t="s">
        <v>198</v>
      </c>
      <c r="M196" s="8" t="s">
        <v>199</v>
      </c>
      <c r="N196" s="8" t="s">
        <v>200</v>
      </c>
      <c r="O196" s="8" t="s">
        <v>201</v>
      </c>
      <c r="P196" s="8" t="s">
        <v>202</v>
      </c>
      <c r="Q196" s="8"/>
      <c r="R196" s="8" t="s">
        <v>52</v>
      </c>
      <c r="S196" s="8" t="s">
        <v>53</v>
      </c>
      <c r="T196" s="8"/>
      <c r="U196" s="8" t="s">
        <v>69</v>
      </c>
      <c r="V196" s="8"/>
      <c r="W196" s="8" t="s">
        <v>54</v>
      </c>
      <c r="X196" s="8"/>
      <c r="Y196" s="8" t="s">
        <v>1080</v>
      </c>
      <c r="Z196" s="8" t="s">
        <v>941</v>
      </c>
      <c r="AA196" s="8" t="s">
        <v>56</v>
      </c>
      <c r="AB196" s="8"/>
      <c r="AC196" s="8"/>
      <c r="AD196" s="8" t="s">
        <v>833</v>
      </c>
      <c r="AE196" s="8" t="s">
        <v>154</v>
      </c>
      <c r="AF196" s="8"/>
      <c r="AG196" s="5">
        <v>46120</v>
      </c>
      <c r="AH196" s="5" t="s">
        <v>73</v>
      </c>
      <c r="AI196" s="8"/>
      <c r="AJ196" s="8" t="s">
        <v>1081</v>
      </c>
      <c r="AK196" s="8" t="s">
        <v>925</v>
      </c>
      <c r="AL196" s="8" t="s">
        <v>207</v>
      </c>
      <c r="AM196" s="8" t="s">
        <v>77</v>
      </c>
      <c r="AN196" s="8" t="s">
        <v>77</v>
      </c>
      <c r="AO196" s="8"/>
    </row>
    <row r="197" spans="1:41" ht="28.5">
      <c r="A197" s="7" t="s">
        <v>1082</v>
      </c>
      <c r="B197" s="5">
        <v>46081</v>
      </c>
      <c r="C197" s="17" t="str">
        <f ca="1">IF(B197="","",IF(OR(TRIM(R197)="En curso",TRIM(R197)="En proceso de ingreso"),TODAY()-B197,"Cerrada"))</f>
        <v>Cerrada</v>
      </c>
      <c r="D197" s="8" t="s">
        <v>42</v>
      </c>
      <c r="E197" s="8" t="s">
        <v>43</v>
      </c>
      <c r="F197" s="8"/>
      <c r="G197" s="8"/>
      <c r="H197" s="8"/>
      <c r="I197" s="8"/>
      <c r="J197" s="8" t="s">
        <v>145</v>
      </c>
      <c r="K197" s="8" t="s">
        <v>146</v>
      </c>
      <c r="L197" s="8" t="s">
        <v>248</v>
      </c>
      <c r="M197" s="8" t="s">
        <v>248</v>
      </c>
      <c r="N197" s="8" t="s">
        <v>213</v>
      </c>
      <c r="O197" s="8" t="s">
        <v>989</v>
      </c>
      <c r="P197" s="8" t="s">
        <v>990</v>
      </c>
      <c r="Q197" s="8"/>
      <c r="R197" s="8" t="s">
        <v>52</v>
      </c>
      <c r="S197" s="8" t="s">
        <v>1083</v>
      </c>
      <c r="T197" s="8"/>
      <c r="U197" s="8" t="s">
        <v>69</v>
      </c>
      <c r="V197" s="8"/>
      <c r="W197" s="8" t="s">
        <v>54</v>
      </c>
      <c r="X197" s="8"/>
      <c r="Y197" s="8" t="s">
        <v>1084</v>
      </c>
      <c r="Z197" s="8"/>
      <c r="AA197" s="8" t="s">
        <v>56</v>
      </c>
      <c r="AB197" s="8"/>
      <c r="AC197" s="8"/>
      <c r="AD197" s="8" t="s">
        <v>1085</v>
      </c>
      <c r="AE197" s="8" t="s">
        <v>154</v>
      </c>
      <c r="AF197" s="8"/>
      <c r="AG197" s="5">
        <v>46101</v>
      </c>
      <c r="AH197" s="5"/>
      <c r="AI197" s="8"/>
      <c r="AJ197" s="8" t="s">
        <v>1086</v>
      </c>
      <c r="AK197" s="8" t="s">
        <v>1087</v>
      </c>
      <c r="AL197" s="8" t="s">
        <v>207</v>
      </c>
      <c r="AM197" s="8" t="s">
        <v>77</v>
      </c>
      <c r="AN197" s="8" t="s">
        <v>77</v>
      </c>
      <c r="AO197" s="8"/>
    </row>
    <row r="198" spans="1:41" ht="28.5">
      <c r="A198" s="7" t="s">
        <v>1088</v>
      </c>
      <c r="B198" s="5">
        <v>46081</v>
      </c>
      <c r="C198" s="17" t="str">
        <f ca="1">IF(B198="","",IF(OR(TRIM(R198)="En curso",TRIM(R198)="En proceso de ingreso"),TODAY()-B198,"Cerrada"))</f>
        <v>Cerrada</v>
      </c>
      <c r="D198" s="8" t="s">
        <v>144</v>
      </c>
      <c r="E198" s="8" t="s">
        <v>43</v>
      </c>
      <c r="F198" s="8"/>
      <c r="G198" s="8"/>
      <c r="H198" s="8"/>
      <c r="I198" s="8"/>
      <c r="J198" s="8" t="s">
        <v>145</v>
      </c>
      <c r="K198" s="8" t="s">
        <v>146</v>
      </c>
      <c r="L198" s="8" t="s">
        <v>293</v>
      </c>
      <c r="M198" s="8" t="s">
        <v>294</v>
      </c>
      <c r="N198" s="8" t="s">
        <v>170</v>
      </c>
      <c r="O198" s="8" t="s">
        <v>1089</v>
      </c>
      <c r="P198" s="8" t="s">
        <v>296</v>
      </c>
      <c r="Q198" s="8"/>
      <c r="R198" s="8" t="s">
        <v>52</v>
      </c>
      <c r="S198" s="8" t="s">
        <v>53</v>
      </c>
      <c r="T198" s="8"/>
      <c r="U198" s="8" t="s">
        <v>69</v>
      </c>
      <c r="V198" s="8" t="s">
        <v>70</v>
      </c>
      <c r="W198" s="8" t="s">
        <v>54</v>
      </c>
      <c r="X198" s="8"/>
      <c r="Y198" s="8" t="s">
        <v>1090</v>
      </c>
      <c r="Z198" s="8"/>
      <c r="AA198" s="8" t="s">
        <v>56</v>
      </c>
      <c r="AB198" s="8"/>
      <c r="AC198" s="8"/>
      <c r="AD198" s="8" t="s">
        <v>1091</v>
      </c>
      <c r="AE198" s="8" t="s">
        <v>154</v>
      </c>
      <c r="AF198" s="8"/>
      <c r="AG198" s="5">
        <v>46104</v>
      </c>
      <c r="AH198" s="5"/>
      <c r="AI198" s="8"/>
      <c r="AJ198" s="8" t="s">
        <v>1092</v>
      </c>
      <c r="AK198" s="8" t="s">
        <v>1093</v>
      </c>
      <c r="AL198" s="8" t="s">
        <v>207</v>
      </c>
      <c r="AM198" s="8" t="s">
        <v>77</v>
      </c>
      <c r="AN198" s="8" t="s">
        <v>77</v>
      </c>
      <c r="AO198" s="8"/>
    </row>
    <row r="199" spans="1:41" ht="28.5">
      <c r="A199" s="7" t="s">
        <v>1094</v>
      </c>
      <c r="B199" s="5">
        <v>46083</v>
      </c>
      <c r="C199" s="17" t="str">
        <f ca="1">IF(B199="","",IF(OR(TRIM(R199)="En curso",TRIM(R199)="En proceso de ingreso"),TODAY()-B199,"Cerrada"))</f>
        <v>Cerrada</v>
      </c>
      <c r="D199" s="8" t="s">
        <v>144</v>
      </c>
      <c r="E199" s="8" t="s">
        <v>43</v>
      </c>
      <c r="F199" s="8"/>
      <c r="G199" s="8"/>
      <c r="H199" s="8"/>
      <c r="I199" s="8"/>
      <c r="J199" s="8" t="s">
        <v>145</v>
      </c>
      <c r="K199" s="8" t="s">
        <v>146</v>
      </c>
      <c r="L199" s="8" t="s">
        <v>222</v>
      </c>
      <c r="M199" s="8" t="s">
        <v>212</v>
      </c>
      <c r="N199" s="8" t="s">
        <v>223</v>
      </c>
      <c r="O199" s="8" t="s">
        <v>224</v>
      </c>
      <c r="P199" s="8" t="s">
        <v>606</v>
      </c>
      <c r="Q199" s="8"/>
      <c r="R199" s="8" t="s">
        <v>52</v>
      </c>
      <c r="S199" s="8" t="s">
        <v>53</v>
      </c>
      <c r="T199" s="8"/>
      <c r="U199" s="8" t="s">
        <v>69</v>
      </c>
      <c r="V199" s="8" t="s">
        <v>472</v>
      </c>
      <c r="W199" s="8" t="s">
        <v>54</v>
      </c>
      <c r="X199" s="8"/>
      <c r="Y199" s="8" t="s">
        <v>1095</v>
      </c>
      <c r="Z199" s="8" t="s">
        <v>941</v>
      </c>
      <c r="AA199" s="8" t="s">
        <v>56</v>
      </c>
      <c r="AB199" s="8"/>
      <c r="AC199" s="8"/>
      <c r="AD199" s="8" t="s">
        <v>942</v>
      </c>
      <c r="AE199" s="8" t="s">
        <v>154</v>
      </c>
      <c r="AF199" s="5">
        <v>46104</v>
      </c>
      <c r="AG199" s="5">
        <v>46120</v>
      </c>
      <c r="AH199" s="5"/>
      <c r="AI199" s="8"/>
      <c r="AJ199" s="8" t="s">
        <v>1096</v>
      </c>
      <c r="AK199" s="8" t="s">
        <v>1097</v>
      </c>
      <c r="AL199" s="8" t="s">
        <v>207</v>
      </c>
      <c r="AM199" s="8" t="s">
        <v>77</v>
      </c>
      <c r="AN199" s="8" t="s">
        <v>77</v>
      </c>
      <c r="AO199" s="8"/>
    </row>
    <row r="200" spans="1:41" hidden="1">
      <c r="A200" s="7" t="s">
        <v>1098</v>
      </c>
      <c r="B200" s="5">
        <v>46086</v>
      </c>
      <c r="C200" s="17">
        <f ca="1">IF(B200="","",IF(OR(TRIM(R200)="En curso",TRIM(R200)="En proceso de ingreso"),TODAY()-B200,"Cerrada"))</f>
        <v>54</v>
      </c>
      <c r="D200" s="8" t="s">
        <v>42</v>
      </c>
      <c r="E200" s="8" t="s">
        <v>43</v>
      </c>
      <c r="F200" s="8"/>
      <c r="G200" s="8"/>
      <c r="H200" s="8"/>
      <c r="I200" s="8"/>
      <c r="J200" s="8" t="s">
        <v>45</v>
      </c>
      <c r="K200" s="8"/>
      <c r="L200" s="8" t="s">
        <v>47</v>
      </c>
      <c r="M200" s="8" t="s">
        <v>48</v>
      </c>
      <c r="N200" s="8" t="s">
        <v>49</v>
      </c>
      <c r="O200" s="8" t="s">
        <v>50</v>
      </c>
      <c r="P200" s="8" t="s">
        <v>51</v>
      </c>
      <c r="Q200" s="8"/>
      <c r="R200" s="8" t="s">
        <v>743</v>
      </c>
      <c r="S200" s="8" t="s">
        <v>744</v>
      </c>
      <c r="T200" s="5">
        <v>46153</v>
      </c>
      <c r="U200" s="8" t="s">
        <v>69</v>
      </c>
      <c r="V200" s="8" t="s">
        <v>70</v>
      </c>
      <c r="W200" s="8" t="s">
        <v>54</v>
      </c>
      <c r="X200" s="8">
        <v>168093</v>
      </c>
      <c r="Y200" s="8" t="s">
        <v>1099</v>
      </c>
      <c r="Z200" s="8" t="s">
        <v>941</v>
      </c>
      <c r="AA200" s="8" t="s">
        <v>56</v>
      </c>
      <c r="AB200" s="8"/>
      <c r="AC200" s="8"/>
      <c r="AD200" s="8"/>
      <c r="AE200" s="8"/>
      <c r="AF200" s="8"/>
      <c r="AG200" s="8"/>
      <c r="AH200" s="5"/>
      <c r="AI200" s="8"/>
      <c r="AJ200" s="8"/>
      <c r="AK200" s="8"/>
      <c r="AL200" s="8"/>
      <c r="AM200" s="8"/>
      <c r="AN200" s="8"/>
      <c r="AO200" s="8"/>
    </row>
    <row r="201" spans="1:41" hidden="1">
      <c r="A201" s="7" t="s">
        <v>1100</v>
      </c>
      <c r="B201" s="5">
        <v>46086</v>
      </c>
      <c r="C201" s="17">
        <f ca="1">IF(B201="","",IF(OR(TRIM(R201)="En curso",TRIM(R201)="En proceso de ingreso"),TODAY()-B201,"Cerrada"))</f>
        <v>54</v>
      </c>
      <c r="D201" s="8" t="s">
        <v>42</v>
      </c>
      <c r="E201" s="8" t="s">
        <v>43</v>
      </c>
      <c r="F201" s="8"/>
      <c r="G201" s="8"/>
      <c r="H201" s="8"/>
      <c r="I201" s="8"/>
      <c r="J201" s="8" t="s">
        <v>45</v>
      </c>
      <c r="K201" s="8"/>
      <c r="L201" s="8" t="s">
        <v>47</v>
      </c>
      <c r="M201" s="8" t="s">
        <v>48</v>
      </c>
      <c r="N201" s="8" t="s">
        <v>49</v>
      </c>
      <c r="O201" s="8" t="s">
        <v>50</v>
      </c>
      <c r="P201" s="8" t="s">
        <v>51</v>
      </c>
      <c r="Q201" s="8"/>
      <c r="R201" s="8" t="s">
        <v>743</v>
      </c>
      <c r="S201" s="8" t="s">
        <v>744</v>
      </c>
      <c r="T201" s="5">
        <v>46153</v>
      </c>
      <c r="U201" s="8" t="s">
        <v>69</v>
      </c>
      <c r="V201" s="8" t="s">
        <v>70</v>
      </c>
      <c r="W201" s="8" t="s">
        <v>54</v>
      </c>
      <c r="X201" s="8">
        <v>818</v>
      </c>
      <c r="Y201" s="8" t="s">
        <v>1101</v>
      </c>
      <c r="Z201" s="8" t="s">
        <v>941</v>
      </c>
      <c r="AA201" s="8" t="s">
        <v>56</v>
      </c>
      <c r="AB201" s="8"/>
      <c r="AC201" s="8"/>
      <c r="AD201" s="8"/>
      <c r="AE201" s="8"/>
      <c r="AF201" s="8"/>
      <c r="AG201" s="8"/>
      <c r="AH201" s="5"/>
      <c r="AI201" s="8"/>
      <c r="AJ201" s="8"/>
      <c r="AK201" s="8"/>
      <c r="AL201" s="8"/>
      <c r="AM201" s="8"/>
      <c r="AN201" s="8"/>
      <c r="AO201" s="8"/>
    </row>
    <row r="202" spans="1:41" hidden="1">
      <c r="A202" s="7" t="s">
        <v>1102</v>
      </c>
      <c r="B202" s="5">
        <v>46104</v>
      </c>
      <c r="C202" s="17">
        <f ca="1">IF(B202="","",IF(OR(TRIM(R202)="En curso",TRIM(R202)="En proceso de ingreso"),TODAY()-B202,"Cerrada"))</f>
        <v>36</v>
      </c>
      <c r="D202" s="8" t="s">
        <v>42</v>
      </c>
      <c r="E202" s="8" t="s">
        <v>43</v>
      </c>
      <c r="F202" s="8"/>
      <c r="G202" s="8"/>
      <c r="H202" s="8"/>
      <c r="I202" s="8"/>
      <c r="J202" s="8" t="s">
        <v>45</v>
      </c>
      <c r="K202" s="8"/>
      <c r="L202" s="8" t="s">
        <v>47</v>
      </c>
      <c r="M202" s="8" t="s">
        <v>48</v>
      </c>
      <c r="N202" s="8" t="s">
        <v>49</v>
      </c>
      <c r="O202" s="8" t="s">
        <v>50</v>
      </c>
      <c r="P202" s="8" t="s">
        <v>51</v>
      </c>
      <c r="Q202" s="8"/>
      <c r="R202" s="8" t="s">
        <v>743</v>
      </c>
      <c r="S202" s="8" t="s">
        <v>744</v>
      </c>
      <c r="T202" s="5">
        <v>46153</v>
      </c>
      <c r="U202" s="8" t="s">
        <v>69</v>
      </c>
      <c r="V202" s="8" t="s">
        <v>70</v>
      </c>
      <c r="W202" s="8" t="s">
        <v>54</v>
      </c>
      <c r="X202" s="8">
        <v>1036</v>
      </c>
      <c r="Y202" s="8" t="s">
        <v>1103</v>
      </c>
      <c r="Z202" s="8" t="s">
        <v>941</v>
      </c>
      <c r="AA202" s="8" t="s">
        <v>56</v>
      </c>
      <c r="AB202" s="8"/>
      <c r="AC202" s="8"/>
      <c r="AD202" s="8"/>
      <c r="AE202" s="8"/>
      <c r="AF202" s="8"/>
      <c r="AG202" s="8"/>
      <c r="AH202" s="5"/>
      <c r="AI202" s="8"/>
      <c r="AJ202" s="8"/>
      <c r="AK202" s="8"/>
      <c r="AL202" s="8"/>
      <c r="AM202" s="8"/>
      <c r="AN202" s="8"/>
      <c r="AO202" s="8"/>
    </row>
    <row r="203" spans="1:41" hidden="1">
      <c r="A203" s="7" t="s">
        <v>1104</v>
      </c>
      <c r="B203" s="5">
        <v>46104</v>
      </c>
      <c r="C203" s="17">
        <f ca="1">IF(B203="","",IF(OR(TRIM(R203)="En curso",TRIM(R203)="En proceso de ingreso"),TODAY()-B203,"Cerrada"))</f>
        <v>36</v>
      </c>
      <c r="D203" s="8" t="s">
        <v>42</v>
      </c>
      <c r="E203" s="8" t="s">
        <v>43</v>
      </c>
      <c r="F203" s="8"/>
      <c r="G203" s="8"/>
      <c r="H203" s="8"/>
      <c r="I203" s="8"/>
      <c r="J203" s="8" t="s">
        <v>45</v>
      </c>
      <c r="K203" s="8"/>
      <c r="L203" s="8" t="s">
        <v>47</v>
      </c>
      <c r="M203" s="8" t="s">
        <v>48</v>
      </c>
      <c r="N203" s="8" t="s">
        <v>49</v>
      </c>
      <c r="O203" s="8" t="s">
        <v>50</v>
      </c>
      <c r="P203" s="8" t="s">
        <v>51</v>
      </c>
      <c r="Q203" s="8"/>
      <c r="R203" s="8" t="s">
        <v>743</v>
      </c>
      <c r="S203" s="8" t="s">
        <v>744</v>
      </c>
      <c r="T203" s="5">
        <v>46153</v>
      </c>
      <c r="U203" s="8" t="s">
        <v>69</v>
      </c>
      <c r="V203" s="8" t="s">
        <v>70</v>
      </c>
      <c r="W203" s="8" t="s">
        <v>54</v>
      </c>
      <c r="X203" s="8">
        <v>170601</v>
      </c>
      <c r="Y203" s="8" t="s">
        <v>1105</v>
      </c>
      <c r="Z203" s="8" t="s">
        <v>941</v>
      </c>
      <c r="AA203" s="8" t="s">
        <v>56</v>
      </c>
      <c r="AB203" s="8"/>
      <c r="AC203" s="8"/>
      <c r="AD203" s="8"/>
      <c r="AE203" s="8"/>
      <c r="AF203" s="8"/>
      <c r="AG203" s="8"/>
      <c r="AH203" s="5"/>
      <c r="AI203" s="8"/>
      <c r="AJ203" s="8"/>
      <c r="AK203" s="8"/>
      <c r="AL203" s="8"/>
      <c r="AM203" s="8"/>
      <c r="AN203" s="8"/>
      <c r="AO203" s="8"/>
    </row>
    <row r="204" spans="1:41" hidden="1">
      <c r="A204" s="7" t="s">
        <v>1106</v>
      </c>
      <c r="B204" s="5">
        <v>46107</v>
      </c>
      <c r="C204" s="17">
        <f ca="1">IF(B204="","",IF(OR(TRIM(R204)="En curso",TRIM(R204)="En proceso de ingreso"),TODAY()-B204,"Cerrada"))</f>
        <v>33</v>
      </c>
      <c r="D204" s="8" t="s">
        <v>42</v>
      </c>
      <c r="E204" s="8" t="s">
        <v>43</v>
      </c>
      <c r="F204" s="8"/>
      <c r="G204" s="8"/>
      <c r="H204" s="8"/>
      <c r="I204" s="8"/>
      <c r="J204" s="8" t="s">
        <v>45</v>
      </c>
      <c r="K204" s="8"/>
      <c r="L204" s="8" t="s">
        <v>47</v>
      </c>
      <c r="M204" s="8" t="s">
        <v>48</v>
      </c>
      <c r="N204" s="8" t="s">
        <v>49</v>
      </c>
      <c r="O204" s="8" t="s">
        <v>50</v>
      </c>
      <c r="P204" s="8" t="s">
        <v>51</v>
      </c>
      <c r="Q204" s="8"/>
      <c r="R204" s="8" t="s">
        <v>743</v>
      </c>
      <c r="S204" s="8" t="s">
        <v>744</v>
      </c>
      <c r="T204" s="5">
        <v>46153</v>
      </c>
      <c r="U204" s="8" t="s">
        <v>69</v>
      </c>
      <c r="V204" s="8" t="s">
        <v>70</v>
      </c>
      <c r="W204" s="8" t="s">
        <v>54</v>
      </c>
      <c r="X204" s="8">
        <v>170649</v>
      </c>
      <c r="Y204" s="8" t="s">
        <v>1107</v>
      </c>
      <c r="Z204" s="8" t="s">
        <v>275</v>
      </c>
      <c r="AA204" s="8" t="s">
        <v>56</v>
      </c>
      <c r="AB204" s="8"/>
      <c r="AC204" s="8"/>
      <c r="AD204" s="8"/>
      <c r="AE204" s="8"/>
      <c r="AF204" s="8"/>
      <c r="AG204" s="8"/>
      <c r="AH204" s="5"/>
      <c r="AI204" s="8"/>
      <c r="AJ204" s="8"/>
      <c r="AK204" s="8"/>
      <c r="AL204" s="8"/>
      <c r="AM204" s="8"/>
      <c r="AN204" s="8"/>
      <c r="AO204" s="8"/>
    </row>
    <row r="205" spans="1:41" ht="28.5" hidden="1">
      <c r="A205" s="7" t="s">
        <v>1108</v>
      </c>
      <c r="B205" s="5">
        <v>46111</v>
      </c>
      <c r="C205" s="17">
        <f ca="1">IF(B205="","",IF(OR(TRIM(R205)="En curso",TRIM(R205)="En proceso de ingreso"),TODAY()-B205,"Cerrada"))</f>
        <v>29</v>
      </c>
      <c r="D205" s="8" t="s">
        <v>42</v>
      </c>
      <c r="E205" s="8" t="s">
        <v>43</v>
      </c>
      <c r="F205" s="8"/>
      <c r="G205" s="8"/>
      <c r="H205" s="8"/>
      <c r="I205" s="8"/>
      <c r="J205" s="8" t="s">
        <v>45</v>
      </c>
      <c r="K205" s="8"/>
      <c r="L205" s="8" t="s">
        <v>47</v>
      </c>
      <c r="M205" s="8" t="s">
        <v>48</v>
      </c>
      <c r="N205" s="8" t="s">
        <v>49</v>
      </c>
      <c r="O205" s="8" t="s">
        <v>50</v>
      </c>
      <c r="P205" s="8" t="s">
        <v>51</v>
      </c>
      <c r="Q205" s="8"/>
      <c r="R205" s="8" t="s">
        <v>743</v>
      </c>
      <c r="S205" s="8" t="s">
        <v>744</v>
      </c>
      <c r="T205" s="5">
        <v>46153</v>
      </c>
      <c r="U205" s="8" t="s">
        <v>69</v>
      </c>
      <c r="V205" s="8" t="s">
        <v>70</v>
      </c>
      <c r="W205" s="8" t="s">
        <v>54</v>
      </c>
      <c r="X205" s="8">
        <v>1099</v>
      </c>
      <c r="Y205" s="8" t="s">
        <v>1109</v>
      </c>
      <c r="Z205" s="8" t="s">
        <v>941</v>
      </c>
      <c r="AA205" s="8" t="s">
        <v>56</v>
      </c>
      <c r="AB205" s="8"/>
      <c r="AC205" s="8"/>
      <c r="AD205" s="8"/>
      <c r="AE205" s="8"/>
      <c r="AF205" s="8"/>
      <c r="AG205" s="8"/>
      <c r="AH205" s="5"/>
      <c r="AI205" s="8"/>
      <c r="AJ205" s="8"/>
      <c r="AK205" s="8"/>
      <c r="AL205" s="8"/>
      <c r="AM205" s="8"/>
      <c r="AN205" s="8"/>
      <c r="AO205" s="8"/>
    </row>
    <row r="206" spans="1:41" ht="28.5" hidden="1">
      <c r="A206" s="7" t="s">
        <v>1110</v>
      </c>
      <c r="B206" s="5">
        <v>46087</v>
      </c>
      <c r="C206" s="17" t="str">
        <f ca="1">IF(B206="","",IF(OR(TRIM(R206)="En curso",TRIM(R206)="En proceso de ingreso"),TODAY()-B206,"Cerrada"))</f>
        <v>Cerrada</v>
      </c>
      <c r="D206" s="8" t="s">
        <v>42</v>
      </c>
      <c r="E206" s="8" t="s">
        <v>43</v>
      </c>
      <c r="F206" s="8"/>
      <c r="G206" s="8" t="s">
        <v>44</v>
      </c>
      <c r="H206" s="8"/>
      <c r="I206" s="8"/>
      <c r="J206" s="8" t="s">
        <v>190</v>
      </c>
      <c r="K206" s="8"/>
      <c r="L206" s="8" t="s">
        <v>1111</v>
      </c>
      <c r="M206" s="8" t="s">
        <v>1111</v>
      </c>
      <c r="N206" s="8" t="s">
        <v>170</v>
      </c>
      <c r="O206" s="8" t="s">
        <v>1020</v>
      </c>
      <c r="P206" s="8" t="s">
        <v>804</v>
      </c>
      <c r="Q206" s="8"/>
      <c r="R206" s="8" t="s">
        <v>754</v>
      </c>
      <c r="S206" s="8" t="s">
        <v>754</v>
      </c>
      <c r="T206" s="8"/>
      <c r="U206" s="8" t="s">
        <v>69</v>
      </c>
      <c r="V206" s="8" t="s">
        <v>70</v>
      </c>
      <c r="W206" s="8" t="s">
        <v>54</v>
      </c>
      <c r="X206" s="8"/>
      <c r="Y206" s="8" t="s">
        <v>1112</v>
      </c>
      <c r="Z206" s="8" t="s">
        <v>941</v>
      </c>
      <c r="AA206" s="8" t="s">
        <v>56</v>
      </c>
      <c r="AB206" s="8"/>
      <c r="AC206" s="8"/>
      <c r="AD206" s="8" t="s">
        <v>1113</v>
      </c>
      <c r="AE206" s="8" t="s">
        <v>190</v>
      </c>
      <c r="AF206" s="8"/>
      <c r="AG206" s="8"/>
      <c r="AH206" s="5"/>
      <c r="AI206" s="8"/>
      <c r="AJ206" s="8" t="s">
        <v>1114</v>
      </c>
      <c r="AK206" s="8"/>
      <c r="AL206" s="8"/>
      <c r="AM206" s="8"/>
      <c r="AN206" s="8"/>
      <c r="AO206" s="8"/>
    </row>
    <row r="207" spans="1:41" hidden="1">
      <c r="A207" s="7" t="s">
        <v>1115</v>
      </c>
      <c r="B207" s="5">
        <v>46087</v>
      </c>
      <c r="C207" s="17" t="str">
        <f ca="1">IF(B207="","",IF(OR(TRIM(R207)="En curso",TRIM(R207)="En proceso de ingreso"),TODAY()-B207,"Cerrada"))</f>
        <v>Cerrada</v>
      </c>
      <c r="D207" s="8" t="s">
        <v>104</v>
      </c>
      <c r="E207" s="8" t="s">
        <v>1040</v>
      </c>
      <c r="F207" s="8"/>
      <c r="G207" s="8" t="s">
        <v>44</v>
      </c>
      <c r="H207" s="8" t="s">
        <v>44</v>
      </c>
      <c r="I207" s="8"/>
      <c r="J207" s="8" t="s">
        <v>180</v>
      </c>
      <c r="K207" s="8"/>
      <c r="L207" s="8" t="s">
        <v>1069</v>
      </c>
      <c r="M207" s="8" t="s">
        <v>1116</v>
      </c>
      <c r="N207" s="8" t="s">
        <v>170</v>
      </c>
      <c r="O207" s="8" t="s">
        <v>1117</v>
      </c>
      <c r="P207" s="8" t="s">
        <v>1118</v>
      </c>
      <c r="Q207" s="8" t="s">
        <v>1119</v>
      </c>
      <c r="R207" s="8" t="s">
        <v>132</v>
      </c>
      <c r="S207" s="8" t="s">
        <v>132</v>
      </c>
      <c r="T207" s="8"/>
      <c r="U207" s="8" t="s">
        <v>69</v>
      </c>
      <c r="V207" s="8" t="s">
        <v>70</v>
      </c>
      <c r="W207" s="8" t="s">
        <v>63</v>
      </c>
      <c r="X207" s="8"/>
      <c r="Y207" s="8"/>
      <c r="Z207" s="8" t="s">
        <v>1120</v>
      </c>
      <c r="AA207" s="8" t="s">
        <v>56</v>
      </c>
      <c r="AB207" s="8"/>
      <c r="AC207" s="8"/>
      <c r="AD207" s="10"/>
      <c r="AE207" s="8"/>
      <c r="AF207" s="10"/>
      <c r="AG207" s="10"/>
      <c r="AH207" s="5" t="s">
        <v>609</v>
      </c>
      <c r="AI207" s="10"/>
      <c r="AJ207" s="10"/>
      <c r="AK207" s="10"/>
      <c r="AL207" s="10"/>
      <c r="AM207" s="10"/>
      <c r="AN207" s="10"/>
      <c r="AO207" s="10"/>
    </row>
    <row r="208" spans="1:41" ht="28.5">
      <c r="A208" s="7" t="s">
        <v>1121</v>
      </c>
      <c r="B208" s="5">
        <v>46090</v>
      </c>
      <c r="C208" s="17" t="str">
        <f ca="1">IF(B208="","",IF(OR(TRIM(R208)="En curso",TRIM(R208)="En proceso de ingreso"),TODAY()-B208,"Cerrada"))</f>
        <v>Cerrada</v>
      </c>
      <c r="D208" s="8" t="s">
        <v>104</v>
      </c>
      <c r="E208" s="8" t="s">
        <v>43</v>
      </c>
      <c r="F208" s="8"/>
      <c r="G208" s="8"/>
      <c r="H208" s="8"/>
      <c r="I208" s="8"/>
      <c r="J208" s="8" t="s">
        <v>145</v>
      </c>
      <c r="K208" s="8"/>
      <c r="L208" s="8" t="s">
        <v>1122</v>
      </c>
      <c r="M208" s="8" t="s">
        <v>1122</v>
      </c>
      <c r="N208" s="8" t="s">
        <v>213</v>
      </c>
      <c r="O208" s="8" t="s">
        <v>1123</v>
      </c>
      <c r="P208" s="8" t="s">
        <v>1124</v>
      </c>
      <c r="Q208" s="8"/>
      <c r="R208" s="8" t="s">
        <v>52</v>
      </c>
      <c r="S208" s="8" t="s">
        <v>53</v>
      </c>
      <c r="T208" s="8"/>
      <c r="U208" s="8" t="s">
        <v>760</v>
      </c>
      <c r="V208" s="8" t="s">
        <v>472</v>
      </c>
      <c r="W208" s="8" t="s">
        <v>54</v>
      </c>
      <c r="X208" s="8"/>
      <c r="Y208" s="8" t="s">
        <v>1125</v>
      </c>
      <c r="Z208" s="8" t="s">
        <v>965</v>
      </c>
      <c r="AA208" s="8" t="s">
        <v>173</v>
      </c>
      <c r="AB208" s="8"/>
      <c r="AC208" s="8"/>
      <c r="AD208" s="8" t="s">
        <v>1126</v>
      </c>
      <c r="AE208" s="8" t="s">
        <v>154</v>
      </c>
      <c r="AF208" s="5">
        <v>46121</v>
      </c>
      <c r="AG208" s="5">
        <v>45767</v>
      </c>
      <c r="AH208" s="5" t="s">
        <v>73</v>
      </c>
      <c r="AI208" s="8" t="s">
        <v>1127</v>
      </c>
      <c r="AJ208" s="8" t="s">
        <v>1128</v>
      </c>
      <c r="AK208" s="8" t="s">
        <v>1129</v>
      </c>
      <c r="AL208" s="8" t="s">
        <v>1130</v>
      </c>
      <c r="AM208" s="8" t="s">
        <v>44</v>
      </c>
      <c r="AN208" s="8" t="s">
        <v>44</v>
      </c>
      <c r="AO208" s="8" t="s">
        <v>1131</v>
      </c>
    </row>
    <row r="209" spans="1:41" hidden="1">
      <c r="A209" s="7" t="s">
        <v>1132</v>
      </c>
      <c r="B209" s="5">
        <v>46090</v>
      </c>
      <c r="C209" s="17">
        <f ca="1">IF(B209="","",IF(OR(TRIM(R209)="En curso",TRIM(R209)="En proceso de ingreso"),TODAY()-B209,"Cerrada"))</f>
        <v>50</v>
      </c>
      <c r="D209" s="8" t="s">
        <v>104</v>
      </c>
      <c r="E209" s="8" t="s">
        <v>43</v>
      </c>
      <c r="F209" s="8"/>
      <c r="G209" s="8" t="s">
        <v>187</v>
      </c>
      <c r="H209" s="8" t="s">
        <v>187</v>
      </c>
      <c r="I209" s="8"/>
      <c r="J209" s="8" t="s">
        <v>145</v>
      </c>
      <c r="K209" s="8" t="s">
        <v>1133</v>
      </c>
      <c r="L209" s="8" t="s">
        <v>1134</v>
      </c>
      <c r="M209" s="8" t="s">
        <v>1135</v>
      </c>
      <c r="N209" s="8" t="s">
        <v>213</v>
      </c>
      <c r="O209" s="8" t="s">
        <v>1136</v>
      </c>
      <c r="P209" s="8" t="s">
        <v>1137</v>
      </c>
      <c r="Q209" s="8"/>
      <c r="R209" s="8" t="s">
        <v>743</v>
      </c>
      <c r="S209" s="8" t="s">
        <v>744</v>
      </c>
      <c r="T209" s="5">
        <v>46153</v>
      </c>
      <c r="U209" s="8" t="s">
        <v>760</v>
      </c>
      <c r="V209" s="8" t="s">
        <v>472</v>
      </c>
      <c r="W209" s="8" t="s">
        <v>54</v>
      </c>
      <c r="X209" s="8"/>
      <c r="Y209" s="8" t="s">
        <v>1138</v>
      </c>
      <c r="Z209" s="8" t="s">
        <v>275</v>
      </c>
      <c r="AA209" s="8" t="s">
        <v>56</v>
      </c>
      <c r="AB209" s="8"/>
      <c r="AC209" s="8"/>
      <c r="AD209" s="8"/>
      <c r="AE209" s="8"/>
      <c r="AF209" s="8"/>
      <c r="AG209" s="8"/>
      <c r="AH209" s="5"/>
      <c r="AI209" s="8"/>
      <c r="AJ209" s="8"/>
      <c r="AK209" s="8"/>
      <c r="AL209" s="8"/>
      <c r="AM209" s="8"/>
      <c r="AN209" s="8"/>
      <c r="AO209" s="8"/>
    </row>
    <row r="210" spans="1:41" hidden="1">
      <c r="A210" s="7" t="s">
        <v>1139</v>
      </c>
      <c r="B210" s="5">
        <v>46090</v>
      </c>
      <c r="C210" s="17">
        <f ca="1">IF(B210="","",IF(OR(TRIM(R210)="En curso",TRIM(R210)="En proceso de ingreso"),TODAY()-B210,"Cerrada"))</f>
        <v>50</v>
      </c>
      <c r="D210" s="8" t="s">
        <v>104</v>
      </c>
      <c r="E210" s="8" t="s">
        <v>43</v>
      </c>
      <c r="F210" s="8"/>
      <c r="G210" s="8" t="s">
        <v>187</v>
      </c>
      <c r="H210" s="8" t="s">
        <v>187</v>
      </c>
      <c r="I210" s="8"/>
      <c r="J210" s="8" t="s">
        <v>145</v>
      </c>
      <c r="K210" s="8"/>
      <c r="L210" s="8" t="s">
        <v>1140</v>
      </c>
      <c r="M210" s="8" t="s">
        <v>348</v>
      </c>
      <c r="N210" s="8" t="s">
        <v>213</v>
      </c>
      <c r="O210" s="8" t="s">
        <v>614</v>
      </c>
      <c r="P210" s="8" t="s">
        <v>615</v>
      </c>
      <c r="Q210" s="8"/>
      <c r="R210" s="8" t="s">
        <v>743</v>
      </c>
      <c r="S210" s="8" t="s">
        <v>744</v>
      </c>
      <c r="T210" s="5">
        <v>46153</v>
      </c>
      <c r="U210" s="8" t="s">
        <v>472</v>
      </c>
      <c r="V210" s="8" t="s">
        <v>472</v>
      </c>
      <c r="W210" s="8" t="s">
        <v>54</v>
      </c>
      <c r="X210" s="8"/>
      <c r="Y210" s="8" t="s">
        <v>1141</v>
      </c>
      <c r="Z210" s="8" t="s">
        <v>275</v>
      </c>
      <c r="AA210" s="8" t="s">
        <v>56</v>
      </c>
      <c r="AB210" s="8"/>
      <c r="AC210" s="8"/>
      <c r="AD210" s="8"/>
      <c r="AE210" s="8"/>
      <c r="AF210" s="8"/>
      <c r="AG210" s="8"/>
      <c r="AH210" s="5"/>
      <c r="AI210" s="8"/>
      <c r="AJ210" s="8"/>
      <c r="AK210" s="8"/>
      <c r="AL210" s="8"/>
      <c r="AM210" s="8"/>
      <c r="AN210" s="8"/>
      <c r="AO210" s="8"/>
    </row>
    <row r="211" spans="1:41" hidden="1">
      <c r="A211" s="7" t="s">
        <v>1142</v>
      </c>
      <c r="B211" s="5">
        <v>46090</v>
      </c>
      <c r="C211" s="17">
        <f ca="1">IF(B211="","",IF(OR(TRIM(R211)="En curso",TRIM(R211)="En proceso de ingreso"),TODAY()-B211,"Cerrada"))</f>
        <v>50</v>
      </c>
      <c r="D211" s="8" t="s">
        <v>467</v>
      </c>
      <c r="E211" s="8" t="s">
        <v>43</v>
      </c>
      <c r="F211" s="8"/>
      <c r="G211" s="8" t="s">
        <v>187</v>
      </c>
      <c r="H211" s="8" t="s">
        <v>44</v>
      </c>
      <c r="I211" s="8"/>
      <c r="J211" s="8" t="s">
        <v>180</v>
      </c>
      <c r="K211" s="8"/>
      <c r="L211" s="8"/>
      <c r="M211" s="8"/>
      <c r="N211" s="8" t="s">
        <v>108</v>
      </c>
      <c r="O211" s="8" t="s">
        <v>1143</v>
      </c>
      <c r="P211" s="8" t="s">
        <v>722</v>
      </c>
      <c r="Q211" s="8" t="s">
        <v>723</v>
      </c>
      <c r="R211" s="8" t="s">
        <v>724</v>
      </c>
      <c r="S211" s="8" t="s">
        <v>739</v>
      </c>
      <c r="T211" s="5">
        <v>46188</v>
      </c>
      <c r="U211" s="8" t="s">
        <v>472</v>
      </c>
      <c r="V211" s="8" t="s">
        <v>472</v>
      </c>
      <c r="W211" s="8" t="s">
        <v>63</v>
      </c>
      <c r="X211" s="8"/>
      <c r="Y211" s="8"/>
      <c r="Z211" s="8" t="s">
        <v>1144</v>
      </c>
      <c r="AA211" s="11" t="s">
        <v>56</v>
      </c>
      <c r="AB211" s="8"/>
      <c r="AC211" s="8"/>
      <c r="AD211" s="8"/>
      <c r="AE211" s="8" t="s">
        <v>1145</v>
      </c>
      <c r="AF211" s="8"/>
      <c r="AG211" s="8"/>
      <c r="AH211" s="5"/>
      <c r="AI211" s="8"/>
      <c r="AJ211" s="8"/>
      <c r="AK211" s="8"/>
      <c r="AL211" s="8"/>
      <c r="AM211" s="8"/>
      <c r="AN211" s="8"/>
      <c r="AO211" s="8"/>
    </row>
    <row r="212" spans="1:41" hidden="1">
      <c r="A212" s="7" t="s">
        <v>1146</v>
      </c>
      <c r="B212" s="5">
        <v>46090</v>
      </c>
      <c r="C212" s="17" t="str">
        <f ca="1">IF(B212="","",IF(OR(TRIM(R212)="En curso",TRIM(R212)="En proceso de ingreso"),TODAY()-B212,"Cerrada"))</f>
        <v>Cerrada</v>
      </c>
      <c r="D212" s="8" t="s">
        <v>467</v>
      </c>
      <c r="E212" s="8" t="s">
        <v>1040</v>
      </c>
      <c r="F212" s="8"/>
      <c r="G212" s="8" t="s">
        <v>44</v>
      </c>
      <c r="H212" s="8"/>
      <c r="I212" s="8"/>
      <c r="J212" s="8" t="s">
        <v>45</v>
      </c>
      <c r="K212" s="8"/>
      <c r="L212" s="8" t="s">
        <v>1147</v>
      </c>
      <c r="M212" s="8"/>
      <c r="N212" s="8" t="s">
        <v>108</v>
      </c>
      <c r="O212" s="8" t="s">
        <v>1045</v>
      </c>
      <c r="P212" s="8" t="s">
        <v>1148</v>
      </c>
      <c r="Q212" s="8"/>
      <c r="R212" s="8" t="s">
        <v>132</v>
      </c>
      <c r="S212" s="8" t="s">
        <v>132</v>
      </c>
      <c r="T212" s="8"/>
      <c r="U212" s="8" t="s">
        <v>1149</v>
      </c>
      <c r="V212" s="8" t="s">
        <v>1149</v>
      </c>
      <c r="W212" s="8" t="s">
        <v>54</v>
      </c>
      <c r="X212" s="8"/>
      <c r="Y212" s="8" t="s">
        <v>1150</v>
      </c>
      <c r="Z212" s="8" t="s">
        <v>941</v>
      </c>
      <c r="AA212" s="11" t="s">
        <v>56</v>
      </c>
      <c r="AB212" s="8"/>
      <c r="AC212" s="8"/>
      <c r="AD212" s="8"/>
      <c r="AE212" s="8"/>
      <c r="AF212" s="8"/>
      <c r="AG212" s="8"/>
      <c r="AH212" s="5"/>
      <c r="AI212" s="8"/>
      <c r="AJ212" s="8"/>
      <c r="AK212" s="8"/>
      <c r="AL212" s="8"/>
      <c r="AM212" s="8"/>
      <c r="AN212" s="8"/>
      <c r="AO212" s="8"/>
    </row>
    <row r="213" spans="1:41" ht="28.5" hidden="1">
      <c r="A213" s="7" t="s">
        <v>1151</v>
      </c>
      <c r="B213" s="5">
        <v>46090</v>
      </c>
      <c r="C213" s="17">
        <f ca="1">IF(B213="","",IF(OR(TRIM(R213)="En curso",TRIM(R213)="En proceso de ingreso"),TODAY()-B213,"Cerrada"))</f>
        <v>50</v>
      </c>
      <c r="D213" s="8" t="s">
        <v>467</v>
      </c>
      <c r="E213" s="8" t="s">
        <v>43</v>
      </c>
      <c r="F213" s="8"/>
      <c r="G213" s="8" t="s">
        <v>44</v>
      </c>
      <c r="H213" s="8"/>
      <c r="I213" s="8"/>
      <c r="J213" s="8" t="s">
        <v>180</v>
      </c>
      <c r="K213" s="8"/>
      <c r="L213" s="8" t="s">
        <v>1152</v>
      </c>
      <c r="M213" s="8" t="s">
        <v>1153</v>
      </c>
      <c r="N213" s="8" t="s">
        <v>238</v>
      </c>
      <c r="O213" s="8" t="s">
        <v>1154</v>
      </c>
      <c r="P213" s="8" t="s">
        <v>1155</v>
      </c>
      <c r="Q213" s="8"/>
      <c r="R213" s="8" t="s">
        <v>743</v>
      </c>
      <c r="S213" s="8" t="s">
        <v>744</v>
      </c>
      <c r="T213" s="5">
        <v>46153</v>
      </c>
      <c r="U213" s="8" t="s">
        <v>472</v>
      </c>
      <c r="V213" s="8" t="s">
        <v>472</v>
      </c>
      <c r="W213" s="8" t="s">
        <v>54</v>
      </c>
      <c r="X213" s="8"/>
      <c r="Y213" s="8" t="s">
        <v>1156</v>
      </c>
      <c r="Z213" s="8" t="s">
        <v>275</v>
      </c>
      <c r="AA213" s="11" t="s">
        <v>56</v>
      </c>
      <c r="AB213" s="8"/>
      <c r="AC213" s="8"/>
      <c r="AD213" s="8"/>
      <c r="AE213" s="8" t="s">
        <v>113</v>
      </c>
      <c r="AF213" s="8"/>
      <c r="AG213" s="8"/>
      <c r="AH213" s="5" t="s">
        <v>73</v>
      </c>
      <c r="AI213" s="8"/>
      <c r="AJ213" s="8"/>
      <c r="AK213" s="8"/>
      <c r="AL213" s="8"/>
      <c r="AM213" s="8"/>
      <c r="AN213" s="8"/>
      <c r="AO213" s="8"/>
    </row>
    <row r="214" spans="1:41" ht="28.5" hidden="1">
      <c r="A214" s="7" t="s">
        <v>1157</v>
      </c>
      <c r="B214" s="5">
        <v>46093</v>
      </c>
      <c r="C214" s="17">
        <f ca="1">IF(B214="","",IF(OR(TRIM(R214)="En curso",TRIM(R214)="En proceso de ingreso"),TODAY()-B214,"Cerrada"))</f>
        <v>47</v>
      </c>
      <c r="D214" s="8" t="s">
        <v>144</v>
      </c>
      <c r="E214" s="8" t="s">
        <v>43</v>
      </c>
      <c r="F214" s="8"/>
      <c r="G214" s="8"/>
      <c r="H214" s="8"/>
      <c r="I214" s="8"/>
      <c r="J214" s="8" t="s">
        <v>145</v>
      </c>
      <c r="K214" s="8" t="s">
        <v>146</v>
      </c>
      <c r="L214" s="8" t="s">
        <v>222</v>
      </c>
      <c r="M214" s="8" t="s">
        <v>212</v>
      </c>
      <c r="N214" s="8" t="s">
        <v>223</v>
      </c>
      <c r="O214" s="8" t="s">
        <v>224</v>
      </c>
      <c r="P214" s="8" t="s">
        <v>606</v>
      </c>
      <c r="Q214" s="8"/>
      <c r="R214" s="8" t="s">
        <v>743</v>
      </c>
      <c r="S214" s="8" t="s">
        <v>854</v>
      </c>
      <c r="T214" s="5">
        <v>46146</v>
      </c>
      <c r="U214" s="8" t="s">
        <v>69</v>
      </c>
      <c r="V214" s="8" t="s">
        <v>472</v>
      </c>
      <c r="W214" s="8" t="s">
        <v>54</v>
      </c>
      <c r="X214" s="8"/>
      <c r="Y214" s="8" t="s">
        <v>1158</v>
      </c>
      <c r="Z214" s="8" t="s">
        <v>275</v>
      </c>
      <c r="AA214" s="11" t="s">
        <v>56</v>
      </c>
      <c r="AB214" s="8"/>
      <c r="AC214" s="8"/>
      <c r="AD214" s="8" t="s">
        <v>856</v>
      </c>
      <c r="AE214" s="8" t="s">
        <v>154</v>
      </c>
      <c r="AF214" s="5">
        <v>46132</v>
      </c>
      <c r="AG214" s="5">
        <v>46146</v>
      </c>
      <c r="AH214" s="5" t="s">
        <v>73</v>
      </c>
      <c r="AI214" s="8"/>
      <c r="AJ214" s="8" t="s">
        <v>1159</v>
      </c>
      <c r="AK214" s="8" t="s">
        <v>1160</v>
      </c>
      <c r="AL214" s="8" t="s">
        <v>207</v>
      </c>
      <c r="AM214" s="8"/>
      <c r="AN214" s="8"/>
      <c r="AO214" s="8"/>
    </row>
    <row r="215" spans="1:41" hidden="1">
      <c r="A215" s="7" t="s">
        <v>1161</v>
      </c>
      <c r="B215" s="5">
        <v>46093</v>
      </c>
      <c r="C215" s="17">
        <f ca="1">IF(B215="","",IF(OR(TRIM(R215)="En curso",TRIM(R215)="En proceso de ingreso"),TODAY()-B215,"Cerrada"))</f>
        <v>47</v>
      </c>
      <c r="D215" s="8" t="s">
        <v>144</v>
      </c>
      <c r="E215" s="8" t="s">
        <v>43</v>
      </c>
      <c r="F215" s="8"/>
      <c r="G215" s="8"/>
      <c r="H215" s="8"/>
      <c r="I215" s="8"/>
      <c r="J215" s="8" t="s">
        <v>145</v>
      </c>
      <c r="K215" s="8" t="s">
        <v>146</v>
      </c>
      <c r="L215" s="8" t="s">
        <v>222</v>
      </c>
      <c r="M215" s="8" t="s">
        <v>766</v>
      </c>
      <c r="N215" s="8" t="s">
        <v>223</v>
      </c>
      <c r="O215" s="8" t="s">
        <v>433</v>
      </c>
      <c r="P215" s="8" t="s">
        <v>606</v>
      </c>
      <c r="Q215" s="8"/>
      <c r="R215" s="8" t="s">
        <v>724</v>
      </c>
      <c r="S215" s="8" t="s">
        <v>958</v>
      </c>
      <c r="T215" s="5">
        <v>46160</v>
      </c>
      <c r="U215" s="8" t="s">
        <v>69</v>
      </c>
      <c r="V215" s="8" t="s">
        <v>472</v>
      </c>
      <c r="W215" s="8" t="s">
        <v>54</v>
      </c>
      <c r="X215" s="8"/>
      <c r="Y215" s="8" t="s">
        <v>1162</v>
      </c>
      <c r="Z215" s="8" t="s">
        <v>941</v>
      </c>
      <c r="AA215" s="11" t="s">
        <v>56</v>
      </c>
      <c r="AB215" s="8"/>
      <c r="AC215" s="8"/>
      <c r="AD215" s="8" t="s">
        <v>608</v>
      </c>
      <c r="AE215" s="8" t="s">
        <v>154</v>
      </c>
      <c r="AF215" s="8"/>
      <c r="AG215" s="8"/>
      <c r="AH215" s="5"/>
      <c r="AI215" s="8"/>
      <c r="AJ215" s="8"/>
      <c r="AK215" s="8"/>
      <c r="AL215" s="8"/>
      <c r="AM215" s="8"/>
      <c r="AN215" s="8"/>
      <c r="AO215" s="8" t="s">
        <v>769</v>
      </c>
    </row>
    <row r="216" spans="1:41">
      <c r="A216" s="7" t="s">
        <v>1163</v>
      </c>
      <c r="B216" s="5">
        <v>46093</v>
      </c>
      <c r="C216" s="17" t="str">
        <f ca="1">IF(B216="","",IF(OR(TRIM(R216)="En curso",TRIM(R216)="En proceso de ingreso"),TODAY()-B216,"Cerrada"))</f>
        <v>Cerrada</v>
      </c>
      <c r="D216" s="8" t="s">
        <v>144</v>
      </c>
      <c r="E216" s="8" t="s">
        <v>43</v>
      </c>
      <c r="F216" s="8"/>
      <c r="G216" s="8"/>
      <c r="H216" s="8"/>
      <c r="I216" s="8"/>
      <c r="J216" s="8" t="s">
        <v>145</v>
      </c>
      <c r="K216" s="8" t="s">
        <v>146</v>
      </c>
      <c r="L216" s="8" t="s">
        <v>222</v>
      </c>
      <c r="M216" s="8" t="s">
        <v>766</v>
      </c>
      <c r="N216" s="8" t="s">
        <v>223</v>
      </c>
      <c r="O216" s="8" t="s">
        <v>433</v>
      </c>
      <c r="P216" s="8" t="s">
        <v>606</v>
      </c>
      <c r="Q216" s="8"/>
      <c r="R216" s="8" t="s">
        <v>52</v>
      </c>
      <c r="S216" s="8" t="s">
        <v>53</v>
      </c>
      <c r="T216" s="8"/>
      <c r="U216" s="8" t="s">
        <v>69</v>
      </c>
      <c r="V216" s="8" t="s">
        <v>472</v>
      </c>
      <c r="W216" s="8" t="s">
        <v>54</v>
      </c>
      <c r="X216" s="8"/>
      <c r="Y216" s="8" t="s">
        <v>1164</v>
      </c>
      <c r="Z216" s="8" t="s">
        <v>965</v>
      </c>
      <c r="AA216" s="11" t="s">
        <v>173</v>
      </c>
      <c r="AB216" s="8"/>
      <c r="AC216" s="8"/>
      <c r="AD216" s="8" t="s">
        <v>608</v>
      </c>
      <c r="AE216" s="8" t="s">
        <v>154</v>
      </c>
      <c r="AF216" s="5">
        <v>46113</v>
      </c>
      <c r="AG216" s="5">
        <v>46120</v>
      </c>
      <c r="AH216" s="5"/>
      <c r="AI216" s="8"/>
      <c r="AJ216" s="8" t="s">
        <v>1165</v>
      </c>
      <c r="AK216" s="8" t="s">
        <v>1166</v>
      </c>
      <c r="AL216" s="8" t="s">
        <v>207</v>
      </c>
      <c r="AM216" s="8" t="s">
        <v>44</v>
      </c>
      <c r="AN216" s="8" t="s">
        <v>44</v>
      </c>
      <c r="AO216" s="8" t="s">
        <v>1167</v>
      </c>
    </row>
    <row r="217" spans="1:41" ht="28.5">
      <c r="A217" s="7" t="s">
        <v>1168</v>
      </c>
      <c r="B217" s="5">
        <v>46093</v>
      </c>
      <c r="C217" s="17" t="str">
        <f ca="1">IF(B217="","",IF(OR(TRIM(R217)="En curso",TRIM(R217)="En proceso de ingreso"),TODAY()-B217,"Cerrada"))</f>
        <v>Cerrada</v>
      </c>
      <c r="D217" s="8" t="s">
        <v>42</v>
      </c>
      <c r="E217" s="8" t="s">
        <v>43</v>
      </c>
      <c r="F217" s="8"/>
      <c r="G217" s="8"/>
      <c r="H217" s="8"/>
      <c r="I217" s="8"/>
      <c r="J217" s="8" t="s">
        <v>180</v>
      </c>
      <c r="K217" s="8" t="s">
        <v>311</v>
      </c>
      <c r="L217" s="8" t="s">
        <v>332</v>
      </c>
      <c r="M217" s="8" t="s">
        <v>249</v>
      </c>
      <c r="N217" s="8" t="s">
        <v>170</v>
      </c>
      <c r="O217" s="8" t="s">
        <v>660</v>
      </c>
      <c r="P217" s="8" t="s">
        <v>947</v>
      </c>
      <c r="Q217" s="8"/>
      <c r="R217" s="8" t="s">
        <v>52</v>
      </c>
      <c r="S217" s="8" t="s">
        <v>53</v>
      </c>
      <c r="T217" s="5">
        <v>46133</v>
      </c>
      <c r="U217" s="8" t="s">
        <v>69</v>
      </c>
      <c r="V217" s="8" t="s">
        <v>472</v>
      </c>
      <c r="W217" s="8" t="s">
        <v>54</v>
      </c>
      <c r="X217" s="8"/>
      <c r="Y217" s="8" t="s">
        <v>1169</v>
      </c>
      <c r="Z217" s="8" t="s">
        <v>965</v>
      </c>
      <c r="AA217" s="11" t="s">
        <v>173</v>
      </c>
      <c r="AB217" s="8"/>
      <c r="AC217" s="8"/>
      <c r="AD217" s="8" t="s">
        <v>1170</v>
      </c>
      <c r="AE217" s="8" t="s">
        <v>664</v>
      </c>
      <c r="AF217" s="5">
        <v>46119</v>
      </c>
      <c r="AG217" s="8"/>
      <c r="AH217" s="5"/>
      <c r="AI217" s="8"/>
      <c r="AJ217" s="8" t="s">
        <v>1171</v>
      </c>
      <c r="AK217" s="8" t="s">
        <v>968</v>
      </c>
      <c r="AL217" s="8" t="s">
        <v>61</v>
      </c>
      <c r="AM217" s="8" t="s">
        <v>77</v>
      </c>
      <c r="AN217" s="8" t="s">
        <v>77</v>
      </c>
      <c r="AO217" s="8"/>
    </row>
    <row r="218" spans="1:41" ht="28.5" hidden="1">
      <c r="A218" s="7" t="s">
        <v>1172</v>
      </c>
      <c r="B218" s="5">
        <v>46093</v>
      </c>
      <c r="C218" s="17">
        <f ca="1">IF(B218="","",IF(OR(TRIM(R218)="En curso",TRIM(R218)="En proceso de ingreso"),TODAY()-B218,"Cerrada"))</f>
        <v>47</v>
      </c>
      <c r="D218" s="8" t="s">
        <v>144</v>
      </c>
      <c r="E218" s="8" t="s">
        <v>43</v>
      </c>
      <c r="F218" s="8"/>
      <c r="G218" s="8"/>
      <c r="H218" s="8"/>
      <c r="I218" s="8"/>
      <c r="J218" s="8" t="s">
        <v>145</v>
      </c>
      <c r="K218" s="8" t="s">
        <v>146</v>
      </c>
      <c r="L218" s="8" t="s">
        <v>198</v>
      </c>
      <c r="M218" s="8" t="s">
        <v>199</v>
      </c>
      <c r="N218" s="8" t="s">
        <v>200</v>
      </c>
      <c r="O218" s="8" t="s">
        <v>201</v>
      </c>
      <c r="P218" s="8" t="s">
        <v>202</v>
      </c>
      <c r="Q218" s="8"/>
      <c r="R218" s="8" t="s">
        <v>743</v>
      </c>
      <c r="S218" s="8" t="s">
        <v>854</v>
      </c>
      <c r="T218" s="5">
        <v>46146</v>
      </c>
      <c r="U218" s="8" t="s">
        <v>69</v>
      </c>
      <c r="V218" s="8" t="s">
        <v>70</v>
      </c>
      <c r="W218" s="8" t="s">
        <v>54</v>
      </c>
      <c r="X218" s="8"/>
      <c r="Y218" s="8" t="s">
        <v>1173</v>
      </c>
      <c r="Z218" s="8" t="s">
        <v>275</v>
      </c>
      <c r="AA218" s="8" t="s">
        <v>173</v>
      </c>
      <c r="AB218" s="8"/>
      <c r="AC218" s="8"/>
      <c r="AD218" s="8" t="s">
        <v>829</v>
      </c>
      <c r="AE218" s="8" t="s">
        <v>154</v>
      </c>
      <c r="AF218" s="5">
        <v>46132</v>
      </c>
      <c r="AG218" s="5">
        <v>46146</v>
      </c>
      <c r="AH218" s="5" t="s">
        <v>73</v>
      </c>
      <c r="AI218" s="8"/>
      <c r="AJ218" s="8" t="s">
        <v>1174</v>
      </c>
      <c r="AK218" s="8" t="s">
        <v>1175</v>
      </c>
      <c r="AL218" s="8" t="s">
        <v>207</v>
      </c>
      <c r="AM218" s="8" t="s">
        <v>44</v>
      </c>
      <c r="AN218" s="8" t="s">
        <v>44</v>
      </c>
      <c r="AO218" s="8" t="s">
        <v>829</v>
      </c>
    </row>
    <row r="219" spans="1:41" ht="28.5">
      <c r="A219" s="7" t="s">
        <v>1176</v>
      </c>
      <c r="B219" s="5">
        <v>46093</v>
      </c>
      <c r="C219" s="17" t="str">
        <f ca="1">IF(B219="","",IF(OR(TRIM(R219)="En curso",TRIM(R219)="En proceso de ingreso"),TODAY()-B219,"Cerrada"))</f>
        <v>Cerrada</v>
      </c>
      <c r="D219" s="8" t="s">
        <v>42</v>
      </c>
      <c r="E219" s="8" t="s">
        <v>43</v>
      </c>
      <c r="F219" s="8"/>
      <c r="G219" s="8"/>
      <c r="H219" s="8"/>
      <c r="I219" s="8"/>
      <c r="J219" s="8" t="s">
        <v>180</v>
      </c>
      <c r="K219" s="8" t="s">
        <v>331</v>
      </c>
      <c r="L219" s="8" t="s">
        <v>332</v>
      </c>
      <c r="M219" s="8" t="s">
        <v>249</v>
      </c>
      <c r="N219" s="8" t="s">
        <v>170</v>
      </c>
      <c r="O219" s="8" t="s">
        <v>660</v>
      </c>
      <c r="P219" s="8" t="s">
        <v>947</v>
      </c>
      <c r="Q219" s="8"/>
      <c r="R219" s="8" t="s">
        <v>52</v>
      </c>
      <c r="S219" s="8" t="s">
        <v>53</v>
      </c>
      <c r="T219" s="5">
        <v>46133</v>
      </c>
      <c r="U219" s="8" t="s">
        <v>69</v>
      </c>
      <c r="V219" s="8" t="s">
        <v>472</v>
      </c>
      <c r="W219" s="8" t="s">
        <v>54</v>
      </c>
      <c r="X219" s="8"/>
      <c r="Y219" s="8" t="s">
        <v>1177</v>
      </c>
      <c r="Z219" s="8" t="s">
        <v>965</v>
      </c>
      <c r="AA219" s="11" t="s">
        <v>173</v>
      </c>
      <c r="AB219" s="8"/>
      <c r="AC219" s="8"/>
      <c r="AD219" s="8" t="s">
        <v>1178</v>
      </c>
      <c r="AE219" s="8" t="s">
        <v>664</v>
      </c>
      <c r="AF219" s="5">
        <v>46119</v>
      </c>
      <c r="AG219" s="8"/>
      <c r="AH219" s="5"/>
      <c r="AI219" s="8"/>
      <c r="AJ219" s="8" t="s">
        <v>1179</v>
      </c>
      <c r="AK219" s="8" t="s">
        <v>968</v>
      </c>
      <c r="AL219" s="8" t="s">
        <v>61</v>
      </c>
      <c r="AM219" s="8" t="s">
        <v>44</v>
      </c>
      <c r="AN219" s="8" t="s">
        <v>44</v>
      </c>
      <c r="AO219" s="8" t="s">
        <v>1180</v>
      </c>
    </row>
    <row r="220" spans="1:41" ht="28.5">
      <c r="A220" s="7" t="s">
        <v>1181</v>
      </c>
      <c r="B220" s="5">
        <v>46093</v>
      </c>
      <c r="C220" s="17" t="str">
        <f ca="1">IF(B220="","",IF(OR(TRIM(R220)="En curso",TRIM(R220)="En proceso de ingreso"),TODAY()-B220,"Cerrada"))</f>
        <v>Cerrada</v>
      </c>
      <c r="D220" s="8" t="s">
        <v>42</v>
      </c>
      <c r="E220" s="8" t="s">
        <v>43</v>
      </c>
      <c r="F220" s="8"/>
      <c r="G220" s="8"/>
      <c r="H220" s="8"/>
      <c r="I220" s="8"/>
      <c r="J220" s="8" t="s">
        <v>180</v>
      </c>
      <c r="K220" s="8" t="s">
        <v>1182</v>
      </c>
      <c r="L220" s="8" t="s">
        <v>664</v>
      </c>
      <c r="M220" s="8" t="s">
        <v>249</v>
      </c>
      <c r="N220" s="8" t="s">
        <v>170</v>
      </c>
      <c r="O220" s="8" t="s">
        <v>660</v>
      </c>
      <c r="P220" s="8" t="s">
        <v>947</v>
      </c>
      <c r="Q220" s="8"/>
      <c r="R220" s="8" t="s">
        <v>52</v>
      </c>
      <c r="S220" s="8" t="s">
        <v>53</v>
      </c>
      <c r="T220" s="8"/>
      <c r="U220" s="8" t="s">
        <v>69</v>
      </c>
      <c r="V220" s="8" t="s">
        <v>472</v>
      </c>
      <c r="W220" s="8" t="s">
        <v>54</v>
      </c>
      <c r="X220" s="8"/>
      <c r="Y220" s="8" t="s">
        <v>1183</v>
      </c>
      <c r="Z220" s="8" t="s">
        <v>275</v>
      </c>
      <c r="AA220" s="11" t="s">
        <v>56</v>
      </c>
      <c r="AB220" s="8"/>
      <c r="AC220" s="8"/>
      <c r="AD220" s="8" t="s">
        <v>1184</v>
      </c>
      <c r="AE220" s="8" t="s">
        <v>664</v>
      </c>
      <c r="AF220" s="5">
        <v>46092</v>
      </c>
      <c r="AG220" s="5">
        <v>46120</v>
      </c>
      <c r="AH220" s="5" t="s">
        <v>73</v>
      </c>
      <c r="AI220" s="8"/>
      <c r="AJ220" s="8" t="s">
        <v>1185</v>
      </c>
      <c r="AK220" s="8" t="s">
        <v>968</v>
      </c>
      <c r="AL220" s="8" t="s">
        <v>61</v>
      </c>
      <c r="AM220" s="8" t="s">
        <v>44</v>
      </c>
      <c r="AN220" s="8" t="s">
        <v>44</v>
      </c>
      <c r="AO220" s="8"/>
    </row>
    <row r="221" spans="1:41" ht="28.5">
      <c r="A221" s="7" t="s">
        <v>1186</v>
      </c>
      <c r="B221" s="5">
        <v>46093</v>
      </c>
      <c r="C221" s="17" t="str">
        <f ca="1">IF(B221="","",IF(OR(TRIM(R221)="En curso",TRIM(R221)="En proceso de ingreso"),TODAY()-B221,"Cerrada"))</f>
        <v>Cerrada</v>
      </c>
      <c r="D221" s="8" t="s">
        <v>42</v>
      </c>
      <c r="E221" s="8" t="s">
        <v>43</v>
      </c>
      <c r="F221" s="8"/>
      <c r="G221" s="8"/>
      <c r="H221" s="8"/>
      <c r="I221" s="8"/>
      <c r="J221" s="8" t="s">
        <v>180</v>
      </c>
      <c r="K221" s="8" t="s">
        <v>1182</v>
      </c>
      <c r="L221" s="8" t="s">
        <v>664</v>
      </c>
      <c r="M221" s="8" t="s">
        <v>249</v>
      </c>
      <c r="N221" s="8" t="s">
        <v>170</v>
      </c>
      <c r="O221" s="8" t="s">
        <v>660</v>
      </c>
      <c r="P221" s="8" t="s">
        <v>947</v>
      </c>
      <c r="Q221" s="8"/>
      <c r="R221" s="8" t="s">
        <v>52</v>
      </c>
      <c r="S221" s="8" t="s">
        <v>53</v>
      </c>
      <c r="T221" s="8"/>
      <c r="U221" s="8" t="s">
        <v>69</v>
      </c>
      <c r="V221" s="8" t="s">
        <v>472</v>
      </c>
      <c r="W221" s="8" t="s">
        <v>54</v>
      </c>
      <c r="X221" s="8"/>
      <c r="Y221" s="8" t="s">
        <v>1187</v>
      </c>
      <c r="Z221" s="8" t="s">
        <v>275</v>
      </c>
      <c r="AA221" s="11" t="s">
        <v>56</v>
      </c>
      <c r="AB221" s="8"/>
      <c r="AC221" s="8"/>
      <c r="AD221" s="8" t="s">
        <v>1188</v>
      </c>
      <c r="AE221" s="8" t="s">
        <v>664</v>
      </c>
      <c r="AF221" s="5">
        <v>46092</v>
      </c>
      <c r="AG221" s="5">
        <v>46120</v>
      </c>
      <c r="AH221" s="5" t="s">
        <v>73</v>
      </c>
      <c r="AI221" s="8"/>
      <c r="AJ221" s="8" t="s">
        <v>1189</v>
      </c>
      <c r="AK221" s="8" t="s">
        <v>1190</v>
      </c>
      <c r="AL221" s="8" t="s">
        <v>61</v>
      </c>
      <c r="AM221" s="8" t="s">
        <v>44</v>
      </c>
      <c r="AN221" s="8" t="s">
        <v>44</v>
      </c>
      <c r="AO221" s="8"/>
    </row>
    <row r="222" spans="1:41" ht="28.5">
      <c r="A222" s="7" t="s">
        <v>1191</v>
      </c>
      <c r="B222" s="5">
        <v>46093</v>
      </c>
      <c r="C222" s="17" t="str">
        <f ca="1">IF(B222="","",IF(OR(TRIM(R222)="En curso",TRIM(R222)="En proceso de ingreso"),TODAY()-B222,"Cerrada"))</f>
        <v>Cerrada</v>
      </c>
      <c r="D222" s="8" t="s">
        <v>42</v>
      </c>
      <c r="E222" s="8" t="s">
        <v>43</v>
      </c>
      <c r="F222" s="8"/>
      <c r="G222" s="8"/>
      <c r="H222" s="8"/>
      <c r="I222" s="8"/>
      <c r="J222" s="8" t="s">
        <v>180</v>
      </c>
      <c r="K222" s="8" t="s">
        <v>1182</v>
      </c>
      <c r="L222" s="8" t="s">
        <v>664</v>
      </c>
      <c r="M222" s="8" t="s">
        <v>249</v>
      </c>
      <c r="N222" s="8" t="s">
        <v>170</v>
      </c>
      <c r="O222" s="8" t="s">
        <v>660</v>
      </c>
      <c r="P222" s="8" t="s">
        <v>947</v>
      </c>
      <c r="Q222" s="8"/>
      <c r="R222" s="8" t="s">
        <v>52</v>
      </c>
      <c r="S222" s="8" t="s">
        <v>53</v>
      </c>
      <c r="T222" s="5"/>
      <c r="U222" s="8" t="s">
        <v>69</v>
      </c>
      <c r="V222" s="8" t="s">
        <v>472</v>
      </c>
      <c r="W222" s="8" t="s">
        <v>54</v>
      </c>
      <c r="X222" s="8">
        <v>154571</v>
      </c>
      <c r="Y222" s="21" t="s">
        <v>1192</v>
      </c>
      <c r="Z222" s="8" t="s">
        <v>941</v>
      </c>
      <c r="AA222" s="11" t="s">
        <v>56</v>
      </c>
      <c r="AB222" s="8"/>
      <c r="AC222" s="8"/>
      <c r="AD222" s="8" t="s">
        <v>1193</v>
      </c>
      <c r="AE222" s="8" t="s">
        <v>664</v>
      </c>
      <c r="AF222" s="5">
        <v>46092</v>
      </c>
      <c r="AG222" s="5">
        <v>46104</v>
      </c>
      <c r="AH222" s="5"/>
      <c r="AI222" s="8"/>
      <c r="AJ222" s="8" t="s">
        <v>1194</v>
      </c>
      <c r="AK222" s="8" t="s">
        <v>1190</v>
      </c>
      <c r="AL222" s="8" t="s">
        <v>61</v>
      </c>
      <c r="AM222" s="8" t="s">
        <v>44</v>
      </c>
      <c r="AN222" s="8" t="s">
        <v>44</v>
      </c>
      <c r="AO222" s="8"/>
    </row>
    <row r="223" spans="1:41" ht="28.5">
      <c r="A223" s="7" t="s">
        <v>1195</v>
      </c>
      <c r="B223" s="5">
        <v>46098</v>
      </c>
      <c r="C223" s="17" t="str">
        <f ca="1">IF(B223="","",IF(OR(TRIM(R223)="En curso",TRIM(R223)="En proceso de ingreso"),TODAY()-B223,"Cerrada"))</f>
        <v>Cerrada</v>
      </c>
      <c r="D223" s="8" t="s">
        <v>144</v>
      </c>
      <c r="E223" s="8" t="s">
        <v>43</v>
      </c>
      <c r="F223" s="8"/>
      <c r="G223" s="8" t="s">
        <v>44</v>
      </c>
      <c r="H223" s="8" t="s">
        <v>187</v>
      </c>
      <c r="I223" s="8"/>
      <c r="J223" s="8" t="s">
        <v>145</v>
      </c>
      <c r="K223" s="8"/>
      <c r="L223" s="8" t="s">
        <v>1196</v>
      </c>
      <c r="M223" s="8" t="s">
        <v>1197</v>
      </c>
      <c r="N223" s="8" t="s">
        <v>170</v>
      </c>
      <c r="O223" s="8" t="s">
        <v>818</v>
      </c>
      <c r="P223" s="8" t="s">
        <v>296</v>
      </c>
      <c r="Q223" s="8"/>
      <c r="R223" s="8" t="s">
        <v>52</v>
      </c>
      <c r="S223" s="8" t="s">
        <v>53</v>
      </c>
      <c r="T223" s="8"/>
      <c r="U223" s="8"/>
      <c r="V223" s="8"/>
      <c r="W223" s="8" t="s">
        <v>54</v>
      </c>
      <c r="X223" s="8"/>
      <c r="Y223" s="8" t="s">
        <v>1198</v>
      </c>
      <c r="Z223" s="8" t="s">
        <v>275</v>
      </c>
      <c r="AA223" s="8" t="s">
        <v>56</v>
      </c>
      <c r="AB223" s="8"/>
      <c r="AC223" s="8"/>
      <c r="AD223" s="8" t="s">
        <v>1199</v>
      </c>
      <c r="AE223" s="8" t="s">
        <v>154</v>
      </c>
      <c r="AF223" s="8"/>
      <c r="AG223" s="5">
        <v>46104</v>
      </c>
      <c r="AH223" s="5"/>
      <c r="AI223" s="8"/>
      <c r="AJ223" s="8" t="s">
        <v>1200</v>
      </c>
      <c r="AK223" s="8" t="s">
        <v>930</v>
      </c>
      <c r="AL223" s="8"/>
      <c r="AM223" s="8"/>
      <c r="AN223" s="8"/>
      <c r="AO223" s="8"/>
    </row>
    <row r="224" spans="1:41" hidden="1">
      <c r="A224" s="7" t="s">
        <v>1201</v>
      </c>
      <c r="B224" s="5">
        <v>46098</v>
      </c>
      <c r="C224" s="17" t="str">
        <f ca="1">IF(B224="","",IF(OR(TRIM(R224)="En curso",TRIM(R224)="En proceso de ingreso"),TODAY()-B224,"Cerrada"))</f>
        <v>Cerrada</v>
      </c>
      <c r="D224" s="8" t="s">
        <v>144</v>
      </c>
      <c r="E224" s="8" t="s">
        <v>43</v>
      </c>
      <c r="F224" s="8"/>
      <c r="G224" s="8" t="s">
        <v>44</v>
      </c>
      <c r="H224" s="8" t="s">
        <v>187</v>
      </c>
      <c r="I224" s="8"/>
      <c r="J224" s="8" t="s">
        <v>145</v>
      </c>
      <c r="K224" s="8"/>
      <c r="L224" s="8" t="s">
        <v>222</v>
      </c>
      <c r="M224" s="8" t="s">
        <v>199</v>
      </c>
      <c r="N224" s="8" t="s">
        <v>223</v>
      </c>
      <c r="O224" s="8" t="s">
        <v>433</v>
      </c>
      <c r="P224" s="8" t="s">
        <v>606</v>
      </c>
      <c r="Q224" s="8"/>
      <c r="R224" s="8" t="s">
        <v>132</v>
      </c>
      <c r="S224" s="8" t="s">
        <v>132</v>
      </c>
      <c r="T224" s="8"/>
      <c r="U224" s="8"/>
      <c r="V224" s="8"/>
      <c r="W224" s="8" t="s">
        <v>54</v>
      </c>
      <c r="X224" s="8"/>
      <c r="Y224" s="8" t="s">
        <v>1202</v>
      </c>
      <c r="Z224" s="8" t="s">
        <v>275</v>
      </c>
      <c r="AA224" s="11" t="s">
        <v>56</v>
      </c>
      <c r="AB224" s="8"/>
      <c r="AC224" s="8"/>
      <c r="AD224" s="8" t="s">
        <v>1203</v>
      </c>
      <c r="AE224" s="8" t="s">
        <v>154</v>
      </c>
      <c r="AF224" s="8"/>
      <c r="AG224" s="8"/>
      <c r="AH224" s="5"/>
      <c r="AI224" s="8"/>
      <c r="AJ224" s="8"/>
      <c r="AK224" s="8"/>
      <c r="AL224" s="8"/>
      <c r="AM224" s="8"/>
      <c r="AN224" s="8"/>
      <c r="AO224" s="8"/>
    </row>
    <row r="225" spans="1:41" hidden="1">
      <c r="A225" s="7" t="s">
        <v>1204</v>
      </c>
      <c r="B225" s="5">
        <v>46098</v>
      </c>
      <c r="C225" s="17" t="str">
        <f ca="1">IF(B225="","",IF(OR(TRIM(R225)="En curso",TRIM(R225)="En proceso de ingreso"),TODAY()-B225,"Cerrada"))</f>
        <v>Cerrada</v>
      </c>
      <c r="D225" s="8" t="s">
        <v>144</v>
      </c>
      <c r="E225" s="8" t="s">
        <v>43</v>
      </c>
      <c r="F225" s="8"/>
      <c r="G225" s="8" t="s">
        <v>44</v>
      </c>
      <c r="H225" s="8" t="s">
        <v>187</v>
      </c>
      <c r="I225" s="8"/>
      <c r="J225" s="8" t="s">
        <v>145</v>
      </c>
      <c r="K225" s="8"/>
      <c r="L225" s="8" t="s">
        <v>222</v>
      </c>
      <c r="M225" s="8" t="s">
        <v>199</v>
      </c>
      <c r="N225" s="8" t="s">
        <v>223</v>
      </c>
      <c r="O225" s="8" t="s">
        <v>433</v>
      </c>
      <c r="P225" s="8" t="s">
        <v>606</v>
      </c>
      <c r="Q225" s="8"/>
      <c r="R225" s="8" t="s">
        <v>132</v>
      </c>
      <c r="S225" s="8" t="s">
        <v>132</v>
      </c>
      <c r="T225" s="8"/>
      <c r="U225" s="8"/>
      <c r="V225" s="8"/>
      <c r="W225" s="8" t="s">
        <v>54</v>
      </c>
      <c r="X225" s="8"/>
      <c r="Y225" s="8" t="s">
        <v>1205</v>
      </c>
      <c r="Z225" s="8" t="s">
        <v>275</v>
      </c>
      <c r="AA225" s="11" t="s">
        <v>56</v>
      </c>
      <c r="AB225" s="8"/>
      <c r="AC225" s="8"/>
      <c r="AD225" s="8" t="s">
        <v>608</v>
      </c>
      <c r="AE225" s="8" t="s">
        <v>154</v>
      </c>
      <c r="AF225" s="8"/>
      <c r="AG225" s="8"/>
      <c r="AH225" s="5"/>
      <c r="AI225" s="8"/>
      <c r="AJ225" s="8"/>
      <c r="AK225" s="8"/>
      <c r="AL225" s="8"/>
      <c r="AM225" s="8"/>
      <c r="AN225" s="8"/>
      <c r="AO225" s="8"/>
    </row>
    <row r="226" spans="1:41">
      <c r="A226" s="7" t="s">
        <v>1206</v>
      </c>
      <c r="B226" s="5">
        <v>46098</v>
      </c>
      <c r="C226" s="17" t="str">
        <f ca="1">IF(B226="","",IF(OR(TRIM(R226)="En curso",TRIM(R226)="En proceso de ingreso"),TODAY()-B226,"Cerrada"))</f>
        <v>Cerrada</v>
      </c>
      <c r="D226" s="8" t="s">
        <v>144</v>
      </c>
      <c r="E226" s="8" t="s">
        <v>43</v>
      </c>
      <c r="F226" s="8"/>
      <c r="G226" s="8" t="s">
        <v>44</v>
      </c>
      <c r="H226" s="8" t="s">
        <v>187</v>
      </c>
      <c r="I226" s="8"/>
      <c r="J226" s="8" t="s">
        <v>145</v>
      </c>
      <c r="K226" s="8"/>
      <c r="L226" s="8" t="s">
        <v>1207</v>
      </c>
      <c r="M226" s="8" t="s">
        <v>766</v>
      </c>
      <c r="N226" s="8" t="s">
        <v>200</v>
      </c>
      <c r="O226" s="8" t="s">
        <v>303</v>
      </c>
      <c r="P226" s="8" t="s">
        <v>202</v>
      </c>
      <c r="Q226" s="8"/>
      <c r="R226" s="8" t="s">
        <v>52</v>
      </c>
      <c r="S226" s="8" t="s">
        <v>53</v>
      </c>
      <c r="T226" s="5">
        <v>46132</v>
      </c>
      <c r="U226" s="8" t="s">
        <v>69</v>
      </c>
      <c r="V226" s="8" t="s">
        <v>139</v>
      </c>
      <c r="W226" s="8" t="s">
        <v>54</v>
      </c>
      <c r="X226" s="8">
        <v>166950</v>
      </c>
      <c r="Y226" s="8" t="s">
        <v>1208</v>
      </c>
      <c r="Z226" s="8" t="s">
        <v>275</v>
      </c>
      <c r="AA226" s="11" t="s">
        <v>474</v>
      </c>
      <c r="AB226" s="8"/>
      <c r="AC226" s="8"/>
      <c r="AD226" s="8" t="s">
        <v>1209</v>
      </c>
      <c r="AE226" s="8" t="s">
        <v>154</v>
      </c>
      <c r="AF226" s="5">
        <v>46132</v>
      </c>
      <c r="AG226" s="5">
        <v>46132</v>
      </c>
      <c r="AH226" s="5"/>
      <c r="AI226" s="8"/>
      <c r="AJ226" s="8" t="s">
        <v>1210</v>
      </c>
      <c r="AK226" s="8" t="s">
        <v>611</v>
      </c>
      <c r="AL226" s="8" t="s">
        <v>207</v>
      </c>
      <c r="AM226" s="8"/>
      <c r="AN226" s="8"/>
      <c r="AO226" s="8"/>
    </row>
    <row r="227" spans="1:41" hidden="1">
      <c r="A227" s="7" t="s">
        <v>1211</v>
      </c>
      <c r="B227" s="5">
        <v>46098</v>
      </c>
      <c r="C227" s="17" t="str">
        <f ca="1">IF(B227="","",IF(OR(TRIM(R227)="En curso",TRIM(R227)="En proceso de ingreso"),TODAY()-B227,"Cerrada"))</f>
        <v>Cerrada</v>
      </c>
      <c r="D227" s="8" t="s">
        <v>144</v>
      </c>
      <c r="E227" s="8" t="s">
        <v>43</v>
      </c>
      <c r="F227" s="8"/>
      <c r="G227" s="8" t="s">
        <v>44</v>
      </c>
      <c r="H227" s="8" t="s">
        <v>187</v>
      </c>
      <c r="I227" s="8"/>
      <c r="J227" s="8" t="s">
        <v>145</v>
      </c>
      <c r="K227" s="8"/>
      <c r="L227" s="8" t="s">
        <v>1207</v>
      </c>
      <c r="M227" s="8" t="s">
        <v>766</v>
      </c>
      <c r="N227" s="8" t="s">
        <v>200</v>
      </c>
      <c r="O227" s="8" t="s">
        <v>201</v>
      </c>
      <c r="P227" s="8" t="s">
        <v>202</v>
      </c>
      <c r="Q227" s="8"/>
      <c r="R227" s="8" t="s">
        <v>132</v>
      </c>
      <c r="S227" s="8" t="s">
        <v>132</v>
      </c>
      <c r="T227" s="8"/>
      <c r="U227" s="8"/>
      <c r="V227" s="8"/>
      <c r="W227" s="8" t="s">
        <v>54</v>
      </c>
      <c r="X227" s="8"/>
      <c r="Y227" s="8" t="s">
        <v>1212</v>
      </c>
      <c r="Z227" s="8" t="s">
        <v>275</v>
      </c>
      <c r="AA227" s="11"/>
      <c r="AB227" s="8"/>
      <c r="AC227" s="8"/>
      <c r="AD227" s="8"/>
      <c r="AE227" s="8" t="s">
        <v>154</v>
      </c>
      <c r="AF227" s="8"/>
      <c r="AG227" s="8"/>
      <c r="AH227" s="5"/>
      <c r="AI227" s="8"/>
      <c r="AJ227" s="8"/>
      <c r="AK227" s="8"/>
      <c r="AL227" s="8"/>
      <c r="AM227" s="8"/>
      <c r="AN227" s="8"/>
      <c r="AO227" s="8"/>
    </row>
    <row r="228" spans="1:41" ht="28.5" hidden="1">
      <c r="A228" s="7" t="s">
        <v>1213</v>
      </c>
      <c r="B228" s="5">
        <v>46098</v>
      </c>
      <c r="C228" s="17">
        <f ca="1">IF(B228="","",IF(OR(TRIM(R228)="En curso",TRIM(R228)="En proceso de ingreso"),TODAY()-B228,"Cerrada"))</f>
        <v>42</v>
      </c>
      <c r="D228" s="8" t="s">
        <v>104</v>
      </c>
      <c r="E228" s="8" t="s">
        <v>43</v>
      </c>
      <c r="F228" s="8"/>
      <c r="G228" s="8" t="s">
        <v>44</v>
      </c>
      <c r="H228" s="8" t="s">
        <v>44</v>
      </c>
      <c r="I228" s="8"/>
      <c r="J228" s="8" t="s">
        <v>180</v>
      </c>
      <c r="K228" s="8"/>
      <c r="L228" s="8" t="s">
        <v>1214</v>
      </c>
      <c r="M228" s="8" t="s">
        <v>1153</v>
      </c>
      <c r="N228" s="8" t="s">
        <v>271</v>
      </c>
      <c r="O228" s="8" t="s">
        <v>1215</v>
      </c>
      <c r="P228" s="8" t="s">
        <v>1216</v>
      </c>
      <c r="Q228" s="8"/>
      <c r="R228" s="8" t="s">
        <v>724</v>
      </c>
      <c r="S228" s="8" t="s">
        <v>739</v>
      </c>
      <c r="T228" s="5">
        <v>46160</v>
      </c>
      <c r="U228" s="8" t="s">
        <v>760</v>
      </c>
      <c r="V228" s="8" t="s">
        <v>472</v>
      </c>
      <c r="W228" s="8" t="s">
        <v>54</v>
      </c>
      <c r="X228" s="8"/>
      <c r="Y228" s="8" t="s">
        <v>1217</v>
      </c>
      <c r="Z228" s="8" t="s">
        <v>941</v>
      </c>
      <c r="AA228" s="11" t="s">
        <v>56</v>
      </c>
      <c r="AB228" s="8"/>
      <c r="AC228" s="8"/>
      <c r="AD228" s="8"/>
      <c r="AE228" s="8" t="s">
        <v>1218</v>
      </c>
      <c r="AF228" s="8"/>
      <c r="AG228" s="8"/>
      <c r="AH228" s="5"/>
      <c r="AI228" s="8"/>
      <c r="AJ228" s="8"/>
      <c r="AK228" s="8"/>
      <c r="AL228" s="8"/>
      <c r="AM228" s="8"/>
      <c r="AN228" s="8"/>
      <c r="AO228" s="8"/>
    </row>
    <row r="229" spans="1:41">
      <c r="A229" s="7" t="s">
        <v>1219</v>
      </c>
      <c r="B229" s="5">
        <v>46098</v>
      </c>
      <c r="C229" s="17" t="str">
        <f ca="1">IF(B229="","",IF(OR(TRIM(R229)="En curso",TRIM(R229)="En proceso de ingreso"),TODAY()-B229,"Cerrada"))</f>
        <v>Cerrada</v>
      </c>
      <c r="D229" s="8" t="s">
        <v>144</v>
      </c>
      <c r="E229" s="8" t="s">
        <v>43</v>
      </c>
      <c r="F229" s="8"/>
      <c r="G229" s="8"/>
      <c r="H229" s="8"/>
      <c r="I229" s="8"/>
      <c r="J229" s="8" t="s">
        <v>145</v>
      </c>
      <c r="K229" s="8"/>
      <c r="L229" s="8" t="s">
        <v>1220</v>
      </c>
      <c r="M229" s="8" t="s">
        <v>1221</v>
      </c>
      <c r="N229" s="8" t="s">
        <v>149</v>
      </c>
      <c r="O229" s="8" t="s">
        <v>150</v>
      </c>
      <c r="P229" s="8" t="s">
        <v>1222</v>
      </c>
      <c r="Q229" s="8"/>
      <c r="R229" s="8" t="s">
        <v>52</v>
      </c>
      <c r="S229" s="8" t="s">
        <v>53</v>
      </c>
      <c r="T229" s="8"/>
      <c r="U229" s="8"/>
      <c r="V229" s="8" t="s">
        <v>472</v>
      </c>
      <c r="W229" s="8" t="s">
        <v>54</v>
      </c>
      <c r="X229" s="8"/>
      <c r="Y229" s="8" t="s">
        <v>1223</v>
      </c>
      <c r="Z229" s="8" t="s">
        <v>275</v>
      </c>
      <c r="AA229" s="11" t="s">
        <v>56</v>
      </c>
      <c r="AB229" s="8"/>
      <c r="AC229" s="8"/>
      <c r="AD229" s="8" t="s">
        <v>1224</v>
      </c>
      <c r="AE229" s="8" t="s">
        <v>154</v>
      </c>
      <c r="AF229" s="5">
        <v>46119</v>
      </c>
      <c r="AG229" s="8"/>
      <c r="AH229" s="5"/>
      <c r="AI229" s="8"/>
      <c r="AJ229" s="8" t="s">
        <v>1225</v>
      </c>
      <c r="AK229" s="8" t="s">
        <v>1226</v>
      </c>
      <c r="AL229" s="8" t="s">
        <v>157</v>
      </c>
      <c r="AM229" s="8" t="s">
        <v>44</v>
      </c>
      <c r="AN229" s="8" t="s">
        <v>44</v>
      </c>
      <c r="AO229" s="8"/>
    </row>
    <row r="230" spans="1:41">
      <c r="A230" s="7" t="s">
        <v>1227</v>
      </c>
      <c r="B230" s="5">
        <v>46098</v>
      </c>
      <c r="C230" s="17" t="str">
        <f ca="1">IF(B230="","",IF(OR(TRIM(R230)="En curso",TRIM(R230)="En proceso de ingreso"),TODAY()-B230,"Cerrada"))</f>
        <v>Cerrada</v>
      </c>
      <c r="D230" s="8" t="s">
        <v>144</v>
      </c>
      <c r="E230" s="8" t="s">
        <v>43</v>
      </c>
      <c r="F230" s="8"/>
      <c r="G230" s="8"/>
      <c r="H230" s="8"/>
      <c r="I230" s="8"/>
      <c r="J230" s="8" t="s">
        <v>145</v>
      </c>
      <c r="K230" s="8"/>
      <c r="L230" s="8" t="s">
        <v>1220</v>
      </c>
      <c r="M230" s="8" t="s">
        <v>1221</v>
      </c>
      <c r="N230" s="8" t="s">
        <v>149</v>
      </c>
      <c r="O230" s="8" t="s">
        <v>150</v>
      </c>
      <c r="P230" s="8" t="s">
        <v>1222</v>
      </c>
      <c r="Q230" s="8"/>
      <c r="R230" s="8" t="s">
        <v>52</v>
      </c>
      <c r="S230" s="8" t="s">
        <v>53</v>
      </c>
      <c r="T230" s="8"/>
      <c r="U230" s="8"/>
      <c r="V230" s="8" t="s">
        <v>472</v>
      </c>
      <c r="W230" s="8" t="s">
        <v>54</v>
      </c>
      <c r="X230" s="8"/>
      <c r="Y230" s="8" t="s">
        <v>1228</v>
      </c>
      <c r="Z230" s="8" t="s">
        <v>275</v>
      </c>
      <c r="AA230" s="11" t="s">
        <v>56</v>
      </c>
      <c r="AB230" s="8"/>
      <c r="AC230" s="8"/>
      <c r="AD230" s="8" t="s">
        <v>1224</v>
      </c>
      <c r="AE230" s="8" t="s">
        <v>154</v>
      </c>
      <c r="AF230" s="5">
        <v>46119</v>
      </c>
      <c r="AG230" s="8"/>
      <c r="AH230" s="5"/>
      <c r="AI230" s="8"/>
      <c r="AJ230" s="8" t="s">
        <v>1225</v>
      </c>
      <c r="AK230" s="8" t="s">
        <v>1226</v>
      </c>
      <c r="AL230" s="8" t="s">
        <v>157</v>
      </c>
      <c r="AM230" s="8" t="s">
        <v>44</v>
      </c>
      <c r="AN230" s="8" t="s">
        <v>44</v>
      </c>
      <c r="AO230" s="8"/>
    </row>
    <row r="231" spans="1:41" ht="28.5" hidden="1">
      <c r="A231" s="7" t="s">
        <v>1229</v>
      </c>
      <c r="B231" s="5">
        <v>46098</v>
      </c>
      <c r="C231" s="17">
        <f ca="1">IF(B231="","",IF(OR(TRIM(R231)="En curso",TRIM(R231)="En proceso de ingreso"),TODAY()-B231,"Cerrada"))</f>
        <v>42</v>
      </c>
      <c r="D231" s="8" t="s">
        <v>104</v>
      </c>
      <c r="E231" s="8" t="s">
        <v>43</v>
      </c>
      <c r="F231" s="8"/>
      <c r="G231" s="8" t="s">
        <v>187</v>
      </c>
      <c r="H231" s="8"/>
      <c r="I231" s="8"/>
      <c r="J231" s="8" t="s">
        <v>180</v>
      </c>
      <c r="K231" s="8"/>
      <c r="L231" s="8" t="s">
        <v>1230</v>
      </c>
      <c r="M231" s="8" t="s">
        <v>1153</v>
      </c>
      <c r="N231" s="8" t="s">
        <v>238</v>
      </c>
      <c r="O231" s="8" t="s">
        <v>1231</v>
      </c>
      <c r="P231" s="8" t="s">
        <v>1232</v>
      </c>
      <c r="Q231" s="8"/>
      <c r="R231" s="8" t="s">
        <v>724</v>
      </c>
      <c r="S231" s="8" t="s">
        <v>739</v>
      </c>
      <c r="T231" s="5">
        <v>46174</v>
      </c>
      <c r="U231" s="8" t="s">
        <v>472</v>
      </c>
      <c r="V231" s="8" t="s">
        <v>472</v>
      </c>
      <c r="W231" s="8" t="s">
        <v>54</v>
      </c>
      <c r="X231" s="8"/>
      <c r="Y231" s="29" t="s">
        <v>1233</v>
      </c>
      <c r="Z231" s="8"/>
      <c r="AA231" s="11" t="s">
        <v>56</v>
      </c>
      <c r="AB231" s="8"/>
      <c r="AC231" s="8"/>
      <c r="AD231" s="8"/>
      <c r="AE231" s="8"/>
      <c r="AF231" s="8"/>
      <c r="AG231" s="8"/>
      <c r="AH231" s="5"/>
      <c r="AI231" s="8"/>
      <c r="AJ231" s="8"/>
      <c r="AK231" s="8"/>
      <c r="AL231" s="8"/>
      <c r="AM231" s="8"/>
      <c r="AN231" s="8"/>
      <c r="AO231" s="8"/>
    </row>
    <row r="232" spans="1:41" ht="28.5" hidden="1">
      <c r="A232" s="7" t="s">
        <v>1234</v>
      </c>
      <c r="B232" s="5">
        <v>46098</v>
      </c>
      <c r="C232" s="17">
        <f ca="1">IF(B232="","",IF(OR(TRIM(R232)="En curso",TRIM(R232)="En proceso de ingreso"),TODAY()-B232,"Cerrada"))</f>
        <v>42</v>
      </c>
      <c r="D232" s="8" t="s">
        <v>104</v>
      </c>
      <c r="E232" s="8" t="s">
        <v>43</v>
      </c>
      <c r="F232" s="8"/>
      <c r="G232" s="8" t="s">
        <v>44</v>
      </c>
      <c r="H232" s="8"/>
      <c r="I232" s="8"/>
      <c r="J232" s="8" t="s">
        <v>180</v>
      </c>
      <c r="K232" s="8"/>
      <c r="L232" s="8" t="s">
        <v>1230</v>
      </c>
      <c r="M232" s="8" t="s">
        <v>1153</v>
      </c>
      <c r="N232" s="8" t="s">
        <v>238</v>
      </c>
      <c r="O232" s="8" t="s">
        <v>1231</v>
      </c>
      <c r="P232" s="8" t="s">
        <v>1232</v>
      </c>
      <c r="Q232" s="8"/>
      <c r="R232" s="8" t="s">
        <v>724</v>
      </c>
      <c r="S232" s="8" t="s">
        <v>739</v>
      </c>
      <c r="T232" s="5">
        <v>46174</v>
      </c>
      <c r="U232" s="8" t="s">
        <v>472</v>
      </c>
      <c r="V232" s="8" t="s">
        <v>472</v>
      </c>
      <c r="W232" s="8" t="s">
        <v>63</v>
      </c>
      <c r="X232" s="8"/>
      <c r="Y232" s="8"/>
      <c r="Z232" s="8"/>
      <c r="AA232" s="11" t="s">
        <v>56</v>
      </c>
      <c r="AB232" s="8"/>
      <c r="AC232" s="8"/>
      <c r="AD232" s="8"/>
      <c r="AE232" s="8"/>
      <c r="AF232" s="8"/>
      <c r="AG232" s="8"/>
      <c r="AH232" s="5"/>
      <c r="AI232" s="8"/>
      <c r="AJ232" s="8"/>
      <c r="AK232" s="8"/>
      <c r="AL232" s="8"/>
      <c r="AM232" s="8"/>
      <c r="AN232" s="8"/>
      <c r="AO232" s="8"/>
    </row>
    <row r="233" spans="1:41" ht="28.5">
      <c r="A233" s="7" t="s">
        <v>1235</v>
      </c>
      <c r="B233" s="5">
        <v>46098</v>
      </c>
      <c r="C233" s="17" t="str">
        <f ca="1">IF(B233="","",IF(OR(TRIM(R233)="En curso",TRIM(R233)="En proceso de ingreso"),TODAY()-B233,"Cerrada"))</f>
        <v>Cerrada</v>
      </c>
      <c r="D233" s="8" t="s">
        <v>42</v>
      </c>
      <c r="E233" s="8" t="s">
        <v>43</v>
      </c>
      <c r="F233" s="8"/>
      <c r="G233" s="8"/>
      <c r="H233" s="8"/>
      <c r="I233" s="8"/>
      <c r="J233" s="8" t="s">
        <v>145</v>
      </c>
      <c r="K233" s="8"/>
      <c r="L233" s="8" t="s">
        <v>1196</v>
      </c>
      <c r="M233" s="8" t="s">
        <v>1197</v>
      </c>
      <c r="N233" s="8" t="s">
        <v>170</v>
      </c>
      <c r="O233" s="8" t="s">
        <v>818</v>
      </c>
      <c r="P233" s="8" t="s">
        <v>296</v>
      </c>
      <c r="Q233" s="8"/>
      <c r="R233" s="8" t="s">
        <v>52</v>
      </c>
      <c r="S233" s="8" t="s">
        <v>53</v>
      </c>
      <c r="T233" s="8"/>
      <c r="U233" s="8"/>
      <c r="V233" s="8"/>
      <c r="W233" s="8" t="s">
        <v>54</v>
      </c>
      <c r="X233" s="8"/>
      <c r="Y233" s="8" t="s">
        <v>1236</v>
      </c>
      <c r="Z233" s="8" t="s">
        <v>275</v>
      </c>
      <c r="AA233" s="8" t="s">
        <v>56</v>
      </c>
      <c r="AB233" s="8"/>
      <c r="AC233" s="8"/>
      <c r="AD233" s="8" t="s">
        <v>1237</v>
      </c>
      <c r="AE233" s="8" t="s">
        <v>154</v>
      </c>
      <c r="AF233" s="8"/>
      <c r="AG233" s="5">
        <v>46104</v>
      </c>
      <c r="AH233" s="5"/>
      <c r="AI233" s="8"/>
      <c r="AJ233" s="8" t="s">
        <v>1238</v>
      </c>
      <c r="AK233" s="8" t="s">
        <v>930</v>
      </c>
      <c r="AL233" s="8"/>
      <c r="AM233" s="8"/>
      <c r="AN233" s="8"/>
      <c r="AO233" s="8"/>
    </row>
    <row r="234" spans="1:41" hidden="1">
      <c r="A234" s="7" t="s">
        <v>1239</v>
      </c>
      <c r="B234" s="5">
        <v>46098</v>
      </c>
      <c r="C234" s="17" t="str">
        <f ca="1">IF(B234="","",IF(OR(TRIM(R234)="En curso",TRIM(R234)="En proceso de ingreso"),TODAY()-B234,"Cerrada"))</f>
        <v>Cerrada</v>
      </c>
      <c r="D234" s="8" t="s">
        <v>42</v>
      </c>
      <c r="E234" s="8" t="s">
        <v>132</v>
      </c>
      <c r="F234" s="8"/>
      <c r="G234" s="8"/>
      <c r="H234" s="8"/>
      <c r="I234" s="8"/>
      <c r="J234" s="8" t="s">
        <v>145</v>
      </c>
      <c r="K234" s="8"/>
      <c r="L234" s="8" t="s">
        <v>1196</v>
      </c>
      <c r="M234" s="8" t="s">
        <v>1197</v>
      </c>
      <c r="N234" s="8" t="s">
        <v>170</v>
      </c>
      <c r="O234" s="8" t="s">
        <v>818</v>
      </c>
      <c r="P234" s="8" t="s">
        <v>296</v>
      </c>
      <c r="Q234" s="8"/>
      <c r="R234" s="8" t="s">
        <v>754</v>
      </c>
      <c r="S234" s="8" t="s">
        <v>754</v>
      </c>
      <c r="T234" s="8"/>
      <c r="U234" s="8"/>
      <c r="V234" s="8"/>
      <c r="W234" s="8" t="s">
        <v>54</v>
      </c>
      <c r="X234" s="8"/>
      <c r="Y234" s="8" t="s">
        <v>1240</v>
      </c>
      <c r="Z234" s="8" t="s">
        <v>941</v>
      </c>
      <c r="AA234" s="11"/>
      <c r="AB234" s="8"/>
      <c r="AC234" s="8"/>
      <c r="AD234" s="8"/>
      <c r="AE234" s="8"/>
      <c r="AF234" s="8"/>
      <c r="AH234" s="5"/>
      <c r="AI234" s="8"/>
      <c r="AJ234" s="8"/>
      <c r="AK234" s="8"/>
      <c r="AL234" s="8"/>
      <c r="AM234" s="8"/>
      <c r="AN234" s="8"/>
      <c r="AO234" s="8" t="s">
        <v>1241</v>
      </c>
    </row>
    <row r="235" spans="1:41" ht="28.5">
      <c r="A235" s="7" t="s">
        <v>1242</v>
      </c>
      <c r="B235" s="5">
        <v>46098</v>
      </c>
      <c r="C235" s="17" t="str">
        <f ca="1">IF(B235="","",IF(OR(TRIM(R235)="En curso",TRIM(R235)="En proceso de ingreso"),TODAY()-B235,"Cerrada"))</f>
        <v>Cerrada</v>
      </c>
      <c r="D235" s="8" t="s">
        <v>42</v>
      </c>
      <c r="E235" s="8" t="s">
        <v>43</v>
      </c>
      <c r="F235" s="8"/>
      <c r="G235" s="8"/>
      <c r="H235" s="8"/>
      <c r="I235" s="8"/>
      <c r="J235" s="8" t="s">
        <v>145</v>
      </c>
      <c r="K235" s="8"/>
      <c r="L235" s="8" t="s">
        <v>1196</v>
      </c>
      <c r="M235" s="8" t="s">
        <v>1197</v>
      </c>
      <c r="N235" s="8" t="s">
        <v>170</v>
      </c>
      <c r="O235" s="8" t="s">
        <v>818</v>
      </c>
      <c r="P235" s="8" t="s">
        <v>296</v>
      </c>
      <c r="Q235" s="8"/>
      <c r="R235" s="8" t="s">
        <v>52</v>
      </c>
      <c r="S235" s="8" t="s">
        <v>53</v>
      </c>
      <c r="T235" s="8"/>
      <c r="U235" s="8"/>
      <c r="V235" s="8"/>
      <c r="W235" s="8" t="s">
        <v>54</v>
      </c>
      <c r="X235" s="8"/>
      <c r="Y235" s="30" t="s">
        <v>1243</v>
      </c>
      <c r="Z235" s="30"/>
      <c r="AA235" s="30" t="s">
        <v>56</v>
      </c>
      <c r="AB235" s="30"/>
      <c r="AC235" s="30"/>
      <c r="AD235" s="30" t="s">
        <v>1244</v>
      </c>
      <c r="AE235" s="30" t="s">
        <v>154</v>
      </c>
      <c r="AF235" s="30"/>
      <c r="AG235" s="31">
        <v>46104</v>
      </c>
      <c r="AH235" s="31"/>
      <c r="AI235" s="30"/>
      <c r="AJ235" s="30" t="s">
        <v>1245</v>
      </c>
      <c r="AK235" s="8" t="s">
        <v>1246</v>
      </c>
      <c r="AL235" s="8" t="s">
        <v>207</v>
      </c>
      <c r="AM235" s="8" t="s">
        <v>44</v>
      </c>
      <c r="AN235" s="8" t="s">
        <v>44</v>
      </c>
      <c r="AO235" s="8"/>
    </row>
    <row r="236" spans="1:41">
      <c r="A236" s="7" t="s">
        <v>1247</v>
      </c>
      <c r="B236" s="5">
        <v>46098</v>
      </c>
      <c r="C236" s="17" t="str">
        <f ca="1">IF(B236="","",IF(OR(TRIM(R236)="En curso",TRIM(R236)="En proceso de ingreso"),TODAY()-B236,"Cerrada"))</f>
        <v>Cerrada</v>
      </c>
      <c r="D236" s="8" t="s">
        <v>42</v>
      </c>
      <c r="E236" s="8" t="s">
        <v>43</v>
      </c>
      <c r="F236" s="8"/>
      <c r="G236" s="8"/>
      <c r="H236" s="8"/>
      <c r="I236" s="8"/>
      <c r="J236" s="8" t="s">
        <v>145</v>
      </c>
      <c r="K236" s="8"/>
      <c r="L236" s="8" t="s">
        <v>1196</v>
      </c>
      <c r="M236" s="8" t="s">
        <v>1197</v>
      </c>
      <c r="N236" s="8" t="s">
        <v>170</v>
      </c>
      <c r="O236" s="8" t="s">
        <v>818</v>
      </c>
      <c r="P236" s="8" t="s">
        <v>296</v>
      </c>
      <c r="Q236" s="8"/>
      <c r="R236" s="8" t="s">
        <v>52</v>
      </c>
      <c r="S236" s="8" t="s">
        <v>53</v>
      </c>
      <c r="T236" s="8"/>
      <c r="U236" s="8"/>
      <c r="V236" s="8"/>
      <c r="W236" s="8" t="s">
        <v>54</v>
      </c>
      <c r="X236" s="8"/>
      <c r="Y236" s="8" t="s">
        <v>1248</v>
      </c>
      <c r="Z236" s="8"/>
      <c r="AA236" s="11"/>
      <c r="AB236" s="8"/>
      <c r="AC236" s="8"/>
      <c r="AD236" s="8"/>
      <c r="AE236" s="8"/>
      <c r="AF236" s="8"/>
      <c r="AG236" s="5">
        <v>46104</v>
      </c>
      <c r="AH236" s="5"/>
      <c r="AI236" s="8"/>
      <c r="AJ236" s="8" t="s">
        <v>1249</v>
      </c>
      <c r="AK236" s="8"/>
      <c r="AL236" s="8"/>
      <c r="AM236" s="8"/>
      <c r="AN236" s="8"/>
      <c r="AO236" s="8"/>
    </row>
    <row r="237" spans="1:41">
      <c r="A237" s="7" t="s">
        <v>1250</v>
      </c>
      <c r="B237" s="5">
        <v>46098</v>
      </c>
      <c r="C237" s="17" t="str">
        <f ca="1">IF(B237="","",IF(OR(TRIM(R237)="En curso",TRIM(R237)="En proceso de ingreso"),TODAY()-B237,"Cerrada"))</f>
        <v>Cerrada</v>
      </c>
      <c r="D237" s="8" t="s">
        <v>42</v>
      </c>
      <c r="E237" s="8" t="s">
        <v>43</v>
      </c>
      <c r="F237" s="8"/>
      <c r="G237" s="8"/>
      <c r="H237" s="8"/>
      <c r="I237" s="8"/>
      <c r="J237" s="8" t="s">
        <v>145</v>
      </c>
      <c r="K237" s="8"/>
      <c r="L237" s="8" t="s">
        <v>1196</v>
      </c>
      <c r="M237" s="8" t="s">
        <v>1197</v>
      </c>
      <c r="N237" s="8" t="s">
        <v>170</v>
      </c>
      <c r="O237" s="8" t="s">
        <v>818</v>
      </c>
      <c r="P237" s="8" t="s">
        <v>296</v>
      </c>
      <c r="Q237" s="8"/>
      <c r="R237" s="8" t="s">
        <v>52</v>
      </c>
      <c r="S237" s="8" t="s">
        <v>53</v>
      </c>
      <c r="T237" s="8"/>
      <c r="U237" s="8"/>
      <c r="V237" s="8"/>
      <c r="W237" s="8" t="s">
        <v>54</v>
      </c>
      <c r="X237" s="8"/>
      <c r="Y237" s="8" t="s">
        <v>1251</v>
      </c>
      <c r="Z237" s="8"/>
      <c r="AA237" s="11"/>
      <c r="AB237" s="8"/>
      <c r="AC237" s="8"/>
      <c r="AD237" s="8"/>
      <c r="AE237" s="8"/>
      <c r="AF237" s="8"/>
      <c r="AG237" s="5">
        <v>46104</v>
      </c>
      <c r="AH237" s="5"/>
      <c r="AI237" s="8"/>
      <c r="AJ237" s="8" t="s">
        <v>1252</v>
      </c>
      <c r="AK237" s="8"/>
      <c r="AL237" s="8"/>
      <c r="AM237" s="8"/>
      <c r="AN237" s="8"/>
      <c r="AO237" s="8"/>
    </row>
    <row r="238" spans="1:41" hidden="1">
      <c r="A238" s="7" t="s">
        <v>1253</v>
      </c>
      <c r="B238" s="5">
        <v>46098</v>
      </c>
      <c r="C238" s="17" t="str">
        <f ca="1">IF(B238="","",IF(OR(TRIM(R238)="En curso",TRIM(R238)="En proceso de ingreso"),TODAY()-B238,"Cerrada"))</f>
        <v>Cerrada</v>
      </c>
      <c r="D238" s="8" t="s">
        <v>42</v>
      </c>
      <c r="E238" s="8" t="s">
        <v>132</v>
      </c>
      <c r="F238" s="8"/>
      <c r="G238" s="8"/>
      <c r="H238" s="8"/>
      <c r="I238" s="8"/>
      <c r="J238" s="8" t="s">
        <v>145</v>
      </c>
      <c r="K238" s="8"/>
      <c r="L238" s="8" t="s">
        <v>1196</v>
      </c>
      <c r="M238" s="8" t="s">
        <v>1197</v>
      </c>
      <c r="N238" s="8" t="s">
        <v>170</v>
      </c>
      <c r="O238" s="8" t="s">
        <v>818</v>
      </c>
      <c r="P238" s="8" t="s">
        <v>296</v>
      </c>
      <c r="Q238" s="8"/>
      <c r="R238" s="8" t="s">
        <v>132</v>
      </c>
      <c r="S238" s="8" t="s">
        <v>132</v>
      </c>
      <c r="T238" s="8"/>
      <c r="U238" s="8"/>
      <c r="V238" s="8"/>
      <c r="W238" s="8" t="s">
        <v>54</v>
      </c>
      <c r="X238" s="8"/>
      <c r="Y238" s="30" t="s">
        <v>1254</v>
      </c>
      <c r="Z238" s="30"/>
      <c r="AA238" s="32"/>
      <c r="AB238" s="30"/>
      <c r="AC238" s="30"/>
      <c r="AD238" s="30"/>
      <c r="AE238" s="30"/>
      <c r="AF238" s="30"/>
      <c r="AG238" s="31">
        <v>46104</v>
      </c>
      <c r="AH238" s="31"/>
      <c r="AI238" s="30"/>
      <c r="AJ238" s="30" t="s">
        <v>1255</v>
      </c>
      <c r="AK238" s="8"/>
      <c r="AL238" s="8"/>
      <c r="AM238" s="8"/>
      <c r="AN238" s="8"/>
      <c r="AO238" s="8" t="s">
        <v>1256</v>
      </c>
    </row>
    <row r="239" spans="1:41" hidden="1">
      <c r="A239" s="7" t="s">
        <v>1257</v>
      </c>
      <c r="B239" s="5">
        <v>46098</v>
      </c>
      <c r="C239" s="17" t="str">
        <f ca="1">IF(B239="","",IF(OR(TRIM(R239)="En curso",TRIM(R239)="En proceso de ingreso"),TODAY()-B239,"Cerrada"))</f>
        <v>Cerrada</v>
      </c>
      <c r="D239" s="8" t="s">
        <v>42</v>
      </c>
      <c r="E239" s="8" t="s">
        <v>43</v>
      </c>
      <c r="F239" s="8"/>
      <c r="G239" s="8"/>
      <c r="H239" s="8" t="s">
        <v>187</v>
      </c>
      <c r="I239" s="8" t="s">
        <v>1258</v>
      </c>
      <c r="J239" s="8" t="s">
        <v>145</v>
      </c>
      <c r="K239" s="8"/>
      <c r="L239" s="8" t="s">
        <v>1196</v>
      </c>
      <c r="M239" s="8" t="s">
        <v>1197</v>
      </c>
      <c r="N239" s="8" t="s">
        <v>170</v>
      </c>
      <c r="O239" s="8" t="s">
        <v>818</v>
      </c>
      <c r="P239" s="8" t="s">
        <v>296</v>
      </c>
      <c r="Q239" s="8"/>
      <c r="R239" s="8" t="s">
        <v>754</v>
      </c>
      <c r="S239" s="8" t="s">
        <v>754</v>
      </c>
      <c r="T239" s="8"/>
      <c r="U239" s="8"/>
      <c r="V239" s="8"/>
      <c r="W239" s="8" t="s">
        <v>54</v>
      </c>
      <c r="X239" s="8"/>
      <c r="Y239" s="8" t="s">
        <v>1259</v>
      </c>
      <c r="Z239" s="8" t="s">
        <v>275</v>
      </c>
      <c r="AA239" s="11"/>
      <c r="AB239" s="8"/>
      <c r="AC239" s="8"/>
      <c r="AD239" s="8"/>
      <c r="AE239" s="8"/>
      <c r="AF239" s="8"/>
      <c r="AG239" s="8"/>
      <c r="AH239" s="5"/>
      <c r="AI239" s="8"/>
      <c r="AJ239" s="8"/>
      <c r="AK239" s="8"/>
      <c r="AL239" s="8"/>
      <c r="AM239" s="8"/>
      <c r="AN239" s="8"/>
      <c r="AO239" s="8"/>
    </row>
    <row r="240" spans="1:41" hidden="1">
      <c r="A240" s="7" t="s">
        <v>1260</v>
      </c>
      <c r="B240" s="5">
        <v>46101</v>
      </c>
      <c r="C240" s="17">
        <f ca="1">IF(B240="","",IF(OR(TRIM(R240)="En curso",TRIM(R240)="En proceso de ingreso"),TODAY()-B240,"Cerrada"))</f>
        <v>39</v>
      </c>
      <c r="D240" s="8" t="s">
        <v>144</v>
      </c>
      <c r="E240" s="8" t="s">
        <v>43</v>
      </c>
      <c r="F240" s="8"/>
      <c r="G240" s="8"/>
      <c r="H240" s="8"/>
      <c r="I240" s="8"/>
      <c r="J240" s="8" t="s">
        <v>145</v>
      </c>
      <c r="K240" s="8" t="s">
        <v>146</v>
      </c>
      <c r="L240" s="8" t="s">
        <v>222</v>
      </c>
      <c r="M240" s="8" t="s">
        <v>1221</v>
      </c>
      <c r="N240" s="8" t="s">
        <v>223</v>
      </c>
      <c r="O240" s="8" t="s">
        <v>224</v>
      </c>
      <c r="P240" s="8" t="s">
        <v>606</v>
      </c>
      <c r="Q240" s="8"/>
      <c r="R240" s="8" t="s">
        <v>724</v>
      </c>
      <c r="S240" s="8" t="s">
        <v>958</v>
      </c>
      <c r="T240" s="5">
        <v>46160</v>
      </c>
      <c r="U240" s="8" t="s">
        <v>69</v>
      </c>
      <c r="V240" s="8" t="s">
        <v>472</v>
      </c>
      <c r="W240" s="8" t="s">
        <v>54</v>
      </c>
      <c r="X240" s="8"/>
      <c r="Y240" s="8" t="s">
        <v>1261</v>
      </c>
      <c r="Z240" s="8" t="s">
        <v>275</v>
      </c>
      <c r="AA240" s="11" t="s">
        <v>474</v>
      </c>
      <c r="AB240" s="8"/>
      <c r="AC240" s="8"/>
      <c r="AD240" s="8" t="s">
        <v>856</v>
      </c>
      <c r="AE240" s="8" t="s">
        <v>154</v>
      </c>
      <c r="AF240" s="8"/>
      <c r="AG240" s="8"/>
      <c r="AH240" s="5"/>
      <c r="AI240" s="8"/>
      <c r="AJ240" s="8"/>
      <c r="AK240" s="8"/>
      <c r="AL240" s="8"/>
      <c r="AM240" s="8"/>
      <c r="AN240" s="8"/>
      <c r="AO240" s="8"/>
    </row>
    <row r="241" spans="1:41" ht="28.5">
      <c r="A241" s="7" t="s">
        <v>1262</v>
      </c>
      <c r="B241" s="5">
        <v>46104</v>
      </c>
      <c r="C241" s="17" t="str">
        <f ca="1">IF(B241="","",IF(OR(TRIM(R241)="En curso",TRIM(R241)="En proceso de ingreso"),TODAY()-B241,"Cerrada"))</f>
        <v>Cerrada</v>
      </c>
      <c r="D241" s="8" t="s">
        <v>144</v>
      </c>
      <c r="E241" s="8" t="s">
        <v>43</v>
      </c>
      <c r="F241" s="8"/>
      <c r="G241" s="8"/>
      <c r="H241" s="8"/>
      <c r="I241" s="8"/>
      <c r="J241" s="8" t="s">
        <v>145</v>
      </c>
      <c r="K241" s="8"/>
      <c r="L241" s="8" t="s">
        <v>222</v>
      </c>
      <c r="M241" s="8" t="s">
        <v>766</v>
      </c>
      <c r="N241" s="8" t="s">
        <v>223</v>
      </c>
      <c r="O241" s="8" t="s">
        <v>433</v>
      </c>
      <c r="P241" s="8" t="s">
        <v>606</v>
      </c>
      <c r="Q241" s="8"/>
      <c r="R241" s="8" t="s">
        <v>52</v>
      </c>
      <c r="S241" s="8" t="s">
        <v>53</v>
      </c>
      <c r="T241" s="8"/>
      <c r="U241" s="8"/>
      <c r="V241" s="8"/>
      <c r="W241" s="8" t="s">
        <v>54</v>
      </c>
      <c r="X241" s="8"/>
      <c r="Y241" s="8" t="s">
        <v>1263</v>
      </c>
      <c r="Z241" s="8" t="s">
        <v>965</v>
      </c>
      <c r="AA241" s="11" t="s">
        <v>152</v>
      </c>
      <c r="AB241" s="8"/>
      <c r="AC241" s="8"/>
      <c r="AD241" s="8" t="s">
        <v>1264</v>
      </c>
      <c r="AE241" s="8" t="s">
        <v>154</v>
      </c>
      <c r="AF241" s="5">
        <v>46104</v>
      </c>
      <c r="AG241" s="5">
        <v>46120</v>
      </c>
      <c r="AH241" s="5"/>
      <c r="AI241" s="8"/>
      <c r="AJ241" s="8" t="s">
        <v>1165</v>
      </c>
      <c r="AK241" s="8" t="s">
        <v>826</v>
      </c>
      <c r="AL241" s="8" t="s">
        <v>207</v>
      </c>
      <c r="AM241" s="8" t="s">
        <v>44</v>
      </c>
      <c r="AN241" s="8" t="s">
        <v>44</v>
      </c>
      <c r="AO241" s="8"/>
    </row>
    <row r="242" spans="1:41" ht="28.5" hidden="1">
      <c r="A242" s="7" t="s">
        <v>1265</v>
      </c>
      <c r="B242" s="5">
        <v>46106</v>
      </c>
      <c r="C242" s="17">
        <f ca="1">IF(B242="","",IF(OR(TRIM(R242)="En curso",TRIM(R242)="En proceso de ingreso"),TODAY()-B242,"Cerrada"))</f>
        <v>34</v>
      </c>
      <c r="D242" s="8" t="s">
        <v>144</v>
      </c>
      <c r="E242" s="8" t="s">
        <v>43</v>
      </c>
      <c r="F242" s="8"/>
      <c r="G242" s="8"/>
      <c r="H242" s="8"/>
      <c r="I242" s="8"/>
      <c r="J242" s="8" t="s">
        <v>145</v>
      </c>
      <c r="K242" s="8"/>
      <c r="L242" s="8" t="s">
        <v>222</v>
      </c>
      <c r="M242" s="8" t="s">
        <v>766</v>
      </c>
      <c r="N242" s="8" t="s">
        <v>223</v>
      </c>
      <c r="O242" s="8" t="s">
        <v>433</v>
      </c>
      <c r="P242" s="8" t="s">
        <v>606</v>
      </c>
      <c r="Q242" s="8"/>
      <c r="R242" s="8" t="s">
        <v>743</v>
      </c>
      <c r="S242" s="8" t="s">
        <v>854</v>
      </c>
      <c r="T242" s="5">
        <v>46146</v>
      </c>
      <c r="U242" s="8" t="s">
        <v>69</v>
      </c>
      <c r="V242" s="8" t="s">
        <v>472</v>
      </c>
      <c r="W242" s="8" t="s">
        <v>54</v>
      </c>
      <c r="X242" s="8">
        <v>161467</v>
      </c>
      <c r="Y242" s="8" t="s">
        <v>1266</v>
      </c>
      <c r="Z242" s="8" t="s">
        <v>1267</v>
      </c>
      <c r="AA242" s="11" t="s">
        <v>56</v>
      </c>
      <c r="AB242" s="8"/>
      <c r="AC242" s="8"/>
      <c r="AD242" s="8" t="s">
        <v>942</v>
      </c>
      <c r="AE242" s="8" t="s">
        <v>154</v>
      </c>
      <c r="AF242" s="5">
        <v>46139</v>
      </c>
      <c r="AG242" s="5">
        <v>46146</v>
      </c>
      <c r="AH242" s="5"/>
      <c r="AI242" s="8"/>
      <c r="AJ242" s="8" t="s">
        <v>1268</v>
      </c>
      <c r="AK242" s="8" t="s">
        <v>858</v>
      </c>
      <c r="AL242" s="8" t="s">
        <v>207</v>
      </c>
      <c r="AM242" s="8" t="s">
        <v>44</v>
      </c>
      <c r="AN242" s="8" t="s">
        <v>44</v>
      </c>
      <c r="AO242" s="8"/>
    </row>
    <row r="243" spans="1:41" ht="28.5">
      <c r="A243" s="7" t="s">
        <v>1269</v>
      </c>
      <c r="B243" s="5">
        <v>46106</v>
      </c>
      <c r="C243" s="17" t="str">
        <f ca="1">IF(B243="","",IF(OR(TRIM(R243)="En curso",TRIM(R243)="En proceso de ingreso"),TODAY()-B243,"Cerrada"))</f>
        <v>Cerrada</v>
      </c>
      <c r="D243" s="8" t="s">
        <v>144</v>
      </c>
      <c r="E243" s="8" t="s">
        <v>43</v>
      </c>
      <c r="F243" s="8"/>
      <c r="G243" s="8"/>
      <c r="H243" s="8"/>
      <c r="I243" s="8"/>
      <c r="J243" s="8" t="s">
        <v>145</v>
      </c>
      <c r="K243" s="8"/>
      <c r="L243" s="14" t="s">
        <v>751</v>
      </c>
      <c r="M243" s="14" t="s">
        <v>752</v>
      </c>
      <c r="N243" s="8" t="s">
        <v>149</v>
      </c>
      <c r="O243" s="8" t="s">
        <v>150</v>
      </c>
      <c r="P243" s="13" t="s">
        <v>753</v>
      </c>
      <c r="Q243" s="8"/>
      <c r="R243" s="8" t="s">
        <v>52</v>
      </c>
      <c r="S243" s="8" t="s">
        <v>53</v>
      </c>
      <c r="T243" s="8"/>
      <c r="U243" s="8" t="s">
        <v>760</v>
      </c>
      <c r="V243" s="8" t="s">
        <v>472</v>
      </c>
      <c r="W243" s="8" t="s">
        <v>54</v>
      </c>
      <c r="X243" s="8"/>
      <c r="Y243" s="8" t="s">
        <v>1270</v>
      </c>
      <c r="Z243" s="8" t="s">
        <v>941</v>
      </c>
      <c r="AA243" s="8" t="s">
        <v>56</v>
      </c>
      <c r="AB243" s="8"/>
      <c r="AC243" s="8"/>
      <c r="AD243" s="8" t="s">
        <v>1271</v>
      </c>
      <c r="AE243" s="8" t="s">
        <v>154</v>
      </c>
      <c r="AF243" s="5">
        <v>46119</v>
      </c>
      <c r="AG243" s="8"/>
      <c r="AH243" s="5"/>
      <c r="AI243" s="8"/>
      <c r="AJ243" s="8" t="s">
        <v>1272</v>
      </c>
      <c r="AK243" s="8" t="s">
        <v>1273</v>
      </c>
      <c r="AL243" s="8" t="s">
        <v>157</v>
      </c>
      <c r="AM243" s="8" t="s">
        <v>44</v>
      </c>
      <c r="AN243" s="8" t="s">
        <v>44</v>
      </c>
      <c r="AO243" s="8"/>
    </row>
    <row r="244" spans="1:41" ht="28.5" hidden="1">
      <c r="A244" s="7" t="s">
        <v>1274</v>
      </c>
      <c r="B244" s="5">
        <v>46107</v>
      </c>
      <c r="C244" s="17">
        <f ca="1">IF(B244="","",IF(OR(TRIM(R244)="En curso",TRIM(R244)="En proceso de ingreso"),TODAY()-B244,"Cerrada"))</f>
        <v>33</v>
      </c>
      <c r="D244" s="8" t="s">
        <v>144</v>
      </c>
      <c r="E244" s="8" t="s">
        <v>43</v>
      </c>
      <c r="F244" s="8"/>
      <c r="G244" s="8"/>
      <c r="H244" s="8"/>
      <c r="I244" s="8"/>
      <c r="J244" s="8" t="s">
        <v>190</v>
      </c>
      <c r="K244" s="8"/>
      <c r="L244" s="8" t="s">
        <v>1111</v>
      </c>
      <c r="M244" s="8" t="s">
        <v>249</v>
      </c>
      <c r="N244" s="8" t="s">
        <v>213</v>
      </c>
      <c r="O244" s="8" t="s">
        <v>1275</v>
      </c>
      <c r="P244" s="8" t="s">
        <v>1276</v>
      </c>
      <c r="Q244" s="8"/>
      <c r="R244" s="8" t="s">
        <v>724</v>
      </c>
      <c r="S244" s="8" t="s">
        <v>725</v>
      </c>
      <c r="T244" s="5">
        <v>46160</v>
      </c>
      <c r="U244" s="8" t="s">
        <v>760</v>
      </c>
      <c r="V244" s="8" t="s">
        <v>472</v>
      </c>
      <c r="W244" s="8" t="s">
        <v>54</v>
      </c>
      <c r="X244" s="8"/>
      <c r="Y244" s="8" t="s">
        <v>1277</v>
      </c>
      <c r="Z244" s="8"/>
      <c r="AA244" s="11" t="s">
        <v>56</v>
      </c>
      <c r="AB244" s="8"/>
      <c r="AC244" s="8"/>
      <c r="AD244" s="8" t="s">
        <v>1278</v>
      </c>
      <c r="AE244" s="8" t="s">
        <v>190</v>
      </c>
      <c r="AF244" s="8"/>
      <c r="AG244" s="8"/>
      <c r="AH244" s="5"/>
      <c r="AI244" s="8"/>
      <c r="AJ244" s="8"/>
      <c r="AK244" s="8"/>
      <c r="AL244" s="8"/>
      <c r="AM244" s="8"/>
      <c r="AN244" s="8"/>
      <c r="AO244" s="8"/>
    </row>
    <row r="245" spans="1:41" ht="28.5" hidden="1">
      <c r="A245" s="7" t="s">
        <v>1279</v>
      </c>
      <c r="B245" s="5">
        <v>46107</v>
      </c>
      <c r="C245" s="17">
        <f ca="1">IF(B245="","",IF(OR(TRIM(R245)="En curso",TRIM(R245)="En proceso de ingreso"),TODAY()-B245,"Cerrada"))</f>
        <v>33</v>
      </c>
      <c r="D245" s="8" t="s">
        <v>104</v>
      </c>
      <c r="E245" s="8" t="s">
        <v>43</v>
      </c>
      <c r="F245" s="8"/>
      <c r="G245" s="8" t="s">
        <v>44</v>
      </c>
      <c r="H245" s="8"/>
      <c r="I245" s="8"/>
      <c r="J245" s="8" t="s">
        <v>190</v>
      </c>
      <c r="K245" s="8"/>
      <c r="L245" s="8" t="s">
        <v>1111</v>
      </c>
      <c r="M245" s="8" t="s">
        <v>249</v>
      </c>
      <c r="N245" s="8" t="s">
        <v>108</v>
      </c>
      <c r="O245" s="8" t="s">
        <v>1280</v>
      </c>
      <c r="P245" s="8" t="s">
        <v>804</v>
      </c>
      <c r="Q245" s="8"/>
      <c r="R245" s="8" t="s">
        <v>724</v>
      </c>
      <c r="S245" s="8" t="s">
        <v>725</v>
      </c>
      <c r="T245" s="5">
        <v>46174</v>
      </c>
      <c r="U245" s="8" t="s">
        <v>472</v>
      </c>
      <c r="V245" s="8" t="s">
        <v>70</v>
      </c>
      <c r="W245" s="8" t="s">
        <v>63</v>
      </c>
      <c r="X245" s="8"/>
      <c r="Y245" s="8"/>
      <c r="Z245" s="8"/>
      <c r="AA245" s="11" t="s">
        <v>56</v>
      </c>
      <c r="AB245" s="8"/>
      <c r="AC245" s="8"/>
      <c r="AD245" s="8" t="s">
        <v>1281</v>
      </c>
      <c r="AE245" s="8" t="s">
        <v>190</v>
      </c>
      <c r="AF245" s="8"/>
      <c r="AG245" s="8"/>
      <c r="AH245" s="5"/>
      <c r="AI245" s="8"/>
      <c r="AJ245" s="8"/>
      <c r="AK245" s="8"/>
      <c r="AL245" s="8"/>
      <c r="AM245" s="8" t="s">
        <v>187</v>
      </c>
      <c r="AN245" s="8"/>
      <c r="AO245" s="8"/>
    </row>
    <row r="246" spans="1:41" hidden="1">
      <c r="A246" s="7" t="s">
        <v>1282</v>
      </c>
      <c r="B246" s="5">
        <v>46108</v>
      </c>
      <c r="C246" s="17" t="str">
        <f ca="1">IF(B246="","",IF(OR(TRIM(R246)="En curso",TRIM(R246)="En proceso de ingreso"),TODAY()-B246,"Cerrada"))</f>
        <v>Cerrada</v>
      </c>
      <c r="D246" s="8" t="s">
        <v>144</v>
      </c>
      <c r="E246" s="8" t="s">
        <v>43</v>
      </c>
      <c r="F246" s="8"/>
      <c r="G246" s="8"/>
      <c r="H246" s="8"/>
      <c r="I246" s="8"/>
      <c r="J246" s="8" t="s">
        <v>145</v>
      </c>
      <c r="K246" s="8"/>
      <c r="L246" s="8" t="s">
        <v>222</v>
      </c>
      <c r="M246" s="8" t="s">
        <v>766</v>
      </c>
      <c r="N246" s="8" t="s">
        <v>223</v>
      </c>
      <c r="O246" s="8" t="s">
        <v>433</v>
      </c>
      <c r="P246" s="8" t="s">
        <v>606</v>
      </c>
      <c r="Q246" s="8"/>
      <c r="R246" s="8" t="s">
        <v>132</v>
      </c>
      <c r="S246" s="8" t="s">
        <v>958</v>
      </c>
      <c r="T246" s="8"/>
      <c r="U246" s="8" t="s">
        <v>69</v>
      </c>
      <c r="V246" s="8" t="s">
        <v>472</v>
      </c>
      <c r="W246" s="8" t="s">
        <v>54</v>
      </c>
      <c r="X246" s="8"/>
      <c r="Y246" s="8"/>
      <c r="Z246" s="8"/>
      <c r="AA246" s="11" t="s">
        <v>56</v>
      </c>
      <c r="AB246" s="8"/>
      <c r="AC246" s="8"/>
      <c r="AD246" s="8" t="s">
        <v>942</v>
      </c>
      <c r="AE246" s="8" t="s">
        <v>154</v>
      </c>
      <c r="AF246" s="8"/>
      <c r="AG246" s="8"/>
      <c r="AH246" s="5"/>
      <c r="AI246" s="8"/>
      <c r="AJ246" s="8"/>
      <c r="AK246" s="8"/>
      <c r="AL246" s="8"/>
      <c r="AM246" s="8"/>
      <c r="AN246" s="8"/>
      <c r="AO246" s="8"/>
    </row>
    <row r="247" spans="1:41" hidden="1">
      <c r="A247" s="7" t="s">
        <v>1283</v>
      </c>
      <c r="B247" s="5">
        <v>46108</v>
      </c>
      <c r="C247" s="17" t="str">
        <f ca="1">IF(B247="","",IF(OR(TRIM(R247)="En curso",TRIM(R247)="En proceso de ingreso"),TODAY()-B247,"Cerrada"))</f>
        <v>Cerrada</v>
      </c>
      <c r="D247" s="8" t="s">
        <v>144</v>
      </c>
      <c r="E247" s="8" t="s">
        <v>43</v>
      </c>
      <c r="F247" s="8"/>
      <c r="G247" s="8"/>
      <c r="H247" s="8"/>
      <c r="I247" s="8"/>
      <c r="J247" s="8" t="s">
        <v>145</v>
      </c>
      <c r="K247" s="8"/>
      <c r="L247" s="8" t="s">
        <v>222</v>
      </c>
      <c r="M247" s="8" t="s">
        <v>766</v>
      </c>
      <c r="N247" s="8" t="s">
        <v>223</v>
      </c>
      <c r="O247" s="8" t="s">
        <v>433</v>
      </c>
      <c r="P247" s="8" t="s">
        <v>606</v>
      </c>
      <c r="Q247" s="8"/>
      <c r="R247" s="8" t="s">
        <v>132</v>
      </c>
      <c r="S247" s="8" t="s">
        <v>958</v>
      </c>
      <c r="T247" s="8"/>
      <c r="U247" s="8" t="s">
        <v>69</v>
      </c>
      <c r="V247" s="8" t="s">
        <v>472</v>
      </c>
      <c r="W247" s="8"/>
      <c r="X247" s="8"/>
      <c r="Y247" s="8" t="s">
        <v>1066</v>
      </c>
      <c r="Z247" s="8" t="s">
        <v>1066</v>
      </c>
      <c r="AA247" s="11" t="s">
        <v>56</v>
      </c>
      <c r="AB247" s="8"/>
      <c r="AC247" s="8"/>
      <c r="AD247" s="8" t="s">
        <v>942</v>
      </c>
      <c r="AE247" s="8" t="s">
        <v>154</v>
      </c>
      <c r="AF247" s="8"/>
      <c r="AG247" s="8"/>
      <c r="AH247" s="5"/>
      <c r="AI247" s="8"/>
      <c r="AJ247" s="8"/>
      <c r="AK247" s="8"/>
      <c r="AL247" s="8"/>
      <c r="AM247" s="8"/>
      <c r="AN247" s="8"/>
      <c r="AO247" s="8"/>
    </row>
    <row r="248" spans="1:41" hidden="1">
      <c r="A248" s="7" t="s">
        <v>1284</v>
      </c>
      <c r="B248" s="5">
        <v>46108</v>
      </c>
      <c r="C248" s="17" t="str">
        <f ca="1">IF(B248="","",IF(OR(TRIM(R248)="En curso",TRIM(R248)="En proceso de ingreso"),TODAY()-B248,"Cerrada"))</f>
        <v>Cerrada</v>
      </c>
      <c r="D248" s="8" t="s">
        <v>144</v>
      </c>
      <c r="E248" s="8" t="s">
        <v>43</v>
      </c>
      <c r="F248" s="8"/>
      <c r="G248" s="8"/>
      <c r="H248" s="8"/>
      <c r="I248" s="8"/>
      <c r="J248" s="8" t="s">
        <v>145</v>
      </c>
      <c r="K248" s="8"/>
      <c r="L248" s="8" t="s">
        <v>222</v>
      </c>
      <c r="M248" s="8" t="s">
        <v>766</v>
      </c>
      <c r="N248" s="8" t="s">
        <v>223</v>
      </c>
      <c r="O248" s="8" t="s">
        <v>433</v>
      </c>
      <c r="P248" s="8" t="s">
        <v>606</v>
      </c>
      <c r="Q248" s="8"/>
      <c r="R248" s="8" t="s">
        <v>132</v>
      </c>
      <c r="S248" s="8" t="s">
        <v>958</v>
      </c>
      <c r="T248" s="8"/>
      <c r="U248" s="8" t="s">
        <v>69</v>
      </c>
      <c r="V248" s="8" t="s">
        <v>472</v>
      </c>
      <c r="W248" s="8" t="s">
        <v>63</v>
      </c>
      <c r="X248" s="8"/>
      <c r="Y248" s="8" t="s">
        <v>1066</v>
      </c>
      <c r="Z248" s="8" t="s">
        <v>1066</v>
      </c>
      <c r="AA248" s="11" t="s">
        <v>56</v>
      </c>
      <c r="AB248" s="8"/>
      <c r="AC248" s="8"/>
      <c r="AD248" s="8" t="s">
        <v>942</v>
      </c>
      <c r="AE248" s="8" t="s">
        <v>154</v>
      </c>
      <c r="AF248" s="8"/>
      <c r="AG248" s="8"/>
      <c r="AH248" s="5"/>
      <c r="AI248" s="8"/>
      <c r="AJ248" s="8"/>
      <c r="AK248" s="8"/>
      <c r="AL248" s="8"/>
      <c r="AM248" s="8"/>
      <c r="AN248" s="8"/>
      <c r="AO248" s="8"/>
    </row>
    <row r="249" spans="1:41" hidden="1">
      <c r="A249" s="7" t="s">
        <v>1285</v>
      </c>
      <c r="B249" s="5">
        <v>46108</v>
      </c>
      <c r="C249" s="17" t="str">
        <f ca="1">IF(B249="","",IF(OR(TRIM(R249)="En curso",TRIM(R249)="En proceso de ingreso"),TODAY()-B249,"Cerrada"))</f>
        <v>Cerrada</v>
      </c>
      <c r="D249" s="8" t="s">
        <v>144</v>
      </c>
      <c r="E249" s="8" t="s">
        <v>43</v>
      </c>
      <c r="F249" s="8"/>
      <c r="G249" s="8"/>
      <c r="H249" s="8"/>
      <c r="I249" s="8"/>
      <c r="J249" s="8" t="s">
        <v>145</v>
      </c>
      <c r="K249" s="8"/>
      <c r="L249" s="8" t="s">
        <v>222</v>
      </c>
      <c r="M249" s="8" t="s">
        <v>766</v>
      </c>
      <c r="N249" s="8" t="s">
        <v>223</v>
      </c>
      <c r="O249" s="8" t="s">
        <v>433</v>
      </c>
      <c r="P249" s="8" t="s">
        <v>606</v>
      </c>
      <c r="Q249" s="8"/>
      <c r="R249" s="8" t="s">
        <v>132</v>
      </c>
      <c r="S249" s="8" t="s">
        <v>958</v>
      </c>
      <c r="T249" s="8"/>
      <c r="U249" s="8" t="s">
        <v>69</v>
      </c>
      <c r="V249" s="8" t="s">
        <v>472</v>
      </c>
      <c r="W249" s="8" t="s">
        <v>63</v>
      </c>
      <c r="X249" s="8"/>
      <c r="Y249" s="8" t="s">
        <v>1066</v>
      </c>
      <c r="Z249" s="8" t="s">
        <v>1066</v>
      </c>
      <c r="AA249" s="11" t="s">
        <v>56</v>
      </c>
      <c r="AB249" s="8"/>
      <c r="AC249" s="8"/>
      <c r="AD249" s="8" t="s">
        <v>942</v>
      </c>
      <c r="AE249" s="8" t="s">
        <v>154</v>
      </c>
      <c r="AF249" s="8"/>
      <c r="AG249" s="8"/>
      <c r="AH249" s="5"/>
      <c r="AI249" s="8"/>
      <c r="AJ249" s="8"/>
      <c r="AK249" s="8"/>
      <c r="AL249" s="8"/>
      <c r="AM249" s="8"/>
      <c r="AN249" s="8"/>
      <c r="AO249" s="8"/>
    </row>
    <row r="250" spans="1:41">
      <c r="A250" s="7" t="s">
        <v>1286</v>
      </c>
      <c r="B250" s="5">
        <v>46108</v>
      </c>
      <c r="C250" s="17" t="str">
        <f ca="1">IF(B250="","",IF(OR(TRIM(R250)="En curso",TRIM(R250)="En proceso de ingreso"),TODAY()-B250,"Cerrada"))</f>
        <v>Cerrada</v>
      </c>
      <c r="D250" s="8" t="s">
        <v>144</v>
      </c>
      <c r="E250" s="8" t="s">
        <v>43</v>
      </c>
      <c r="F250" s="8"/>
      <c r="G250" s="8"/>
      <c r="H250" s="8"/>
      <c r="I250" s="8"/>
      <c r="J250" s="8" t="s">
        <v>145</v>
      </c>
      <c r="K250" s="8"/>
      <c r="L250" s="8" t="s">
        <v>222</v>
      </c>
      <c r="M250" s="8" t="s">
        <v>766</v>
      </c>
      <c r="N250" s="8" t="s">
        <v>223</v>
      </c>
      <c r="O250" s="8" t="s">
        <v>433</v>
      </c>
      <c r="P250" s="8" t="s">
        <v>606</v>
      </c>
      <c r="Q250" s="8"/>
      <c r="R250" s="8" t="s">
        <v>52</v>
      </c>
      <c r="S250" s="8" t="s">
        <v>53</v>
      </c>
      <c r="T250" s="8"/>
      <c r="U250" s="8" t="s">
        <v>69</v>
      </c>
      <c r="V250" s="8" t="s">
        <v>472</v>
      </c>
      <c r="W250" s="8" t="s">
        <v>63</v>
      </c>
      <c r="X250" s="8"/>
      <c r="Y250" s="8" t="s">
        <v>1066</v>
      </c>
      <c r="Z250" s="8" t="s">
        <v>1066</v>
      </c>
      <c r="AA250" s="8" t="s">
        <v>474</v>
      </c>
      <c r="AB250" s="8"/>
      <c r="AC250" s="8"/>
      <c r="AD250" s="8" t="s">
        <v>959</v>
      </c>
      <c r="AE250" s="8" t="s">
        <v>154</v>
      </c>
      <c r="AF250" s="5">
        <v>46132</v>
      </c>
      <c r="AG250" s="5">
        <v>46132</v>
      </c>
      <c r="AH250" s="5"/>
      <c r="AI250" s="8"/>
      <c r="AJ250" s="8" t="s">
        <v>1287</v>
      </c>
      <c r="AK250" s="8" t="s">
        <v>611</v>
      </c>
      <c r="AL250" s="8"/>
      <c r="AM250" s="8"/>
      <c r="AN250" s="8"/>
      <c r="AO250" s="8"/>
    </row>
    <row r="251" spans="1:41">
      <c r="A251" s="7" t="s">
        <v>1288</v>
      </c>
      <c r="B251" s="5">
        <v>46108</v>
      </c>
      <c r="C251" s="17" t="str">
        <f ca="1">IF(B251="","",IF(OR(TRIM(R251)="En curso",TRIM(R251)="En proceso de ingreso"),TODAY()-B251,"Cerrada"))</f>
        <v>Cerrada</v>
      </c>
      <c r="D251" s="8" t="s">
        <v>144</v>
      </c>
      <c r="E251" s="8" t="s">
        <v>43</v>
      </c>
      <c r="F251" s="8"/>
      <c r="G251" s="8"/>
      <c r="H251" s="8"/>
      <c r="I251" s="8"/>
      <c r="J251" s="8" t="s">
        <v>145</v>
      </c>
      <c r="K251" s="8"/>
      <c r="L251" s="8" t="s">
        <v>222</v>
      </c>
      <c r="M251" s="8" t="s">
        <v>766</v>
      </c>
      <c r="N251" s="8" t="s">
        <v>223</v>
      </c>
      <c r="O251" s="8" t="s">
        <v>433</v>
      </c>
      <c r="P251" s="8" t="s">
        <v>606</v>
      </c>
      <c r="Q251" s="8"/>
      <c r="R251" s="8" t="s">
        <v>52</v>
      </c>
      <c r="S251" s="8" t="s">
        <v>53</v>
      </c>
      <c r="T251" s="8"/>
      <c r="U251" s="8" t="s">
        <v>69</v>
      </c>
      <c r="V251" s="8" t="s">
        <v>472</v>
      </c>
      <c r="W251" s="8" t="s">
        <v>63</v>
      </c>
      <c r="X251" s="8"/>
      <c r="Y251" s="8" t="s">
        <v>1066</v>
      </c>
      <c r="Z251" s="8" t="s">
        <v>1066</v>
      </c>
      <c r="AA251" s="8" t="s">
        <v>474</v>
      </c>
      <c r="AB251" s="8"/>
      <c r="AC251" s="8"/>
      <c r="AD251" s="8" t="s">
        <v>959</v>
      </c>
      <c r="AE251" s="8" t="s">
        <v>154</v>
      </c>
      <c r="AF251" s="5">
        <v>46132</v>
      </c>
      <c r="AG251" s="5">
        <v>46132</v>
      </c>
      <c r="AH251" s="5"/>
      <c r="AI251" s="8"/>
      <c r="AJ251" s="8" t="s">
        <v>1289</v>
      </c>
      <c r="AK251" s="8" t="s">
        <v>611</v>
      </c>
      <c r="AL251" s="8"/>
      <c r="AM251" s="8"/>
      <c r="AN251" s="8"/>
      <c r="AO251" s="8"/>
    </row>
    <row r="252" spans="1:41" hidden="1">
      <c r="A252" s="7" t="s">
        <v>1290</v>
      </c>
      <c r="B252" s="5">
        <v>46108</v>
      </c>
      <c r="C252" s="17" t="str">
        <f ca="1">IF(B252="","",IF(OR(TRIM(R252)="En curso",TRIM(R252)="En proceso de ingreso"),TODAY()-B252,"Cerrada"))</f>
        <v>Cerrada</v>
      </c>
      <c r="D252" s="8" t="s">
        <v>144</v>
      </c>
      <c r="E252" s="8" t="s">
        <v>43</v>
      </c>
      <c r="F252" s="8"/>
      <c r="G252" s="8"/>
      <c r="H252" s="8"/>
      <c r="I252" s="8"/>
      <c r="J252" s="8" t="s">
        <v>145</v>
      </c>
      <c r="K252" s="8" t="s">
        <v>1133</v>
      </c>
      <c r="L252" s="8" t="s">
        <v>222</v>
      </c>
      <c r="M252" s="8" t="s">
        <v>604</v>
      </c>
      <c r="N252" s="8" t="s">
        <v>223</v>
      </c>
      <c r="O252" s="8" t="s">
        <v>605</v>
      </c>
      <c r="P252" s="8" t="s">
        <v>606</v>
      </c>
      <c r="Q252" s="8"/>
      <c r="R252" s="8" t="s">
        <v>132</v>
      </c>
      <c r="S252" s="8" t="s">
        <v>1291</v>
      </c>
      <c r="T252" s="8"/>
      <c r="U252" s="8" t="s">
        <v>69</v>
      </c>
      <c r="V252" s="8" t="s">
        <v>472</v>
      </c>
      <c r="W252" s="8" t="s">
        <v>63</v>
      </c>
      <c r="X252" s="8"/>
      <c r="Y252" s="8" t="s">
        <v>1066</v>
      </c>
      <c r="Z252" s="8" t="s">
        <v>1066</v>
      </c>
      <c r="AA252" s="11" t="s">
        <v>56</v>
      </c>
      <c r="AB252" s="8"/>
      <c r="AC252" s="8"/>
      <c r="AD252" s="8"/>
      <c r="AE252" s="8" t="s">
        <v>154</v>
      </c>
      <c r="AF252" s="8"/>
      <c r="AG252" s="8"/>
      <c r="AH252" s="5"/>
      <c r="AI252" s="8"/>
      <c r="AJ252" s="8"/>
      <c r="AK252" s="8"/>
      <c r="AL252" s="8"/>
      <c r="AM252" s="8"/>
      <c r="AN252" s="8"/>
      <c r="AO252" s="8"/>
    </row>
    <row r="253" spans="1:41" hidden="1">
      <c r="A253" s="7" t="s">
        <v>1292</v>
      </c>
      <c r="B253" s="5">
        <v>46108</v>
      </c>
      <c r="C253" s="17" t="str">
        <f ca="1">IF(B253="","",IF(OR(TRIM(R253)="En curso",TRIM(R253)="En proceso de ingreso"),TODAY()-B253,"Cerrada"))</f>
        <v>Cerrada</v>
      </c>
      <c r="D253" s="8" t="s">
        <v>144</v>
      </c>
      <c r="E253" s="8" t="s">
        <v>43</v>
      </c>
      <c r="F253" s="8"/>
      <c r="G253" s="8"/>
      <c r="H253" s="8"/>
      <c r="I253" s="8"/>
      <c r="J253" s="8" t="s">
        <v>145</v>
      </c>
      <c r="K253" s="8" t="s">
        <v>1133</v>
      </c>
      <c r="L253" s="8" t="s">
        <v>222</v>
      </c>
      <c r="M253" s="8" t="s">
        <v>604</v>
      </c>
      <c r="N253" s="8" t="s">
        <v>223</v>
      </c>
      <c r="O253" s="8" t="s">
        <v>605</v>
      </c>
      <c r="P253" s="8" t="s">
        <v>606</v>
      </c>
      <c r="Q253" s="8"/>
      <c r="R253" s="8" t="s">
        <v>132</v>
      </c>
      <c r="S253" s="8" t="s">
        <v>1291</v>
      </c>
      <c r="T253" s="8"/>
      <c r="U253" s="8" t="s">
        <v>69</v>
      </c>
      <c r="V253" s="8" t="s">
        <v>472</v>
      </c>
      <c r="W253" s="8" t="s">
        <v>63</v>
      </c>
      <c r="X253" s="8"/>
      <c r="Y253" s="8" t="s">
        <v>1066</v>
      </c>
      <c r="Z253" s="8" t="s">
        <v>1066</v>
      </c>
      <c r="AA253" s="11" t="s">
        <v>56</v>
      </c>
      <c r="AB253" s="8"/>
      <c r="AC253" s="8"/>
      <c r="AD253" s="8"/>
      <c r="AE253" s="8" t="s">
        <v>154</v>
      </c>
      <c r="AF253" s="8"/>
      <c r="AG253" s="8"/>
      <c r="AH253" s="5"/>
      <c r="AI253" s="8"/>
      <c r="AJ253" s="8"/>
      <c r="AK253" s="8"/>
      <c r="AL253" s="8"/>
      <c r="AM253" s="8"/>
      <c r="AN253" s="8"/>
      <c r="AO253" s="8"/>
    </row>
    <row r="254" spans="1:41" ht="28.5" hidden="1">
      <c r="A254" s="7" t="s">
        <v>1293</v>
      </c>
      <c r="B254" s="5">
        <v>46111</v>
      </c>
      <c r="C254" s="17">
        <f ca="1">IF(B254="","",IF(OR(TRIM(R254)="En curso",TRIM(R254)="En proceso de ingreso"),TODAY()-B254,"Cerrada"))</f>
        <v>29</v>
      </c>
      <c r="D254" s="8" t="s">
        <v>144</v>
      </c>
      <c r="E254" s="8" t="s">
        <v>43</v>
      </c>
      <c r="F254" s="8"/>
      <c r="G254" s="8" t="s">
        <v>187</v>
      </c>
      <c r="H254" s="8" t="s">
        <v>187</v>
      </c>
      <c r="I254" s="8"/>
      <c r="J254" s="8" t="s">
        <v>190</v>
      </c>
      <c r="K254" s="8"/>
      <c r="L254" s="8" t="s">
        <v>222</v>
      </c>
      <c r="M254" s="8" t="s">
        <v>249</v>
      </c>
      <c r="N254" s="8" t="s">
        <v>223</v>
      </c>
      <c r="O254" s="8" t="s">
        <v>1294</v>
      </c>
      <c r="P254" s="8" t="s">
        <v>1276</v>
      </c>
      <c r="Q254" s="8"/>
      <c r="R254" s="8" t="s">
        <v>724</v>
      </c>
      <c r="S254" s="8" t="s">
        <v>958</v>
      </c>
      <c r="T254" s="5">
        <v>46174</v>
      </c>
      <c r="U254" s="8" t="s">
        <v>69</v>
      </c>
      <c r="V254" s="8" t="s">
        <v>70</v>
      </c>
      <c r="W254" s="8" t="s">
        <v>54</v>
      </c>
      <c r="X254" s="8"/>
      <c r="Y254" s="8" t="s">
        <v>1295</v>
      </c>
      <c r="Z254" s="8" t="s">
        <v>275</v>
      </c>
      <c r="AA254" s="11" t="s">
        <v>56</v>
      </c>
      <c r="AB254" s="8"/>
      <c r="AC254" s="8"/>
      <c r="AD254" s="8" t="s">
        <v>1296</v>
      </c>
      <c r="AE254" s="8" t="s">
        <v>190</v>
      </c>
      <c r="AF254" s="8"/>
      <c r="AG254" s="8"/>
      <c r="AH254" s="5" t="s">
        <v>73</v>
      </c>
      <c r="AI254" s="8"/>
      <c r="AJ254" s="8"/>
      <c r="AK254" s="8"/>
      <c r="AL254" s="8"/>
      <c r="AM254" s="8"/>
      <c r="AN254" s="8"/>
      <c r="AO254" s="8" t="s">
        <v>1297</v>
      </c>
    </row>
    <row r="255" spans="1:41" ht="28.5" hidden="1">
      <c r="A255" s="7" t="s">
        <v>1298</v>
      </c>
      <c r="B255" s="5">
        <v>46111</v>
      </c>
      <c r="C255" s="17">
        <f ca="1">IF(B255="","",IF(OR(TRIM(R255)="En curso",TRIM(R255)="En proceso de ingreso"),TODAY()-B255,"Cerrada"))</f>
        <v>29</v>
      </c>
      <c r="D255" s="8" t="s">
        <v>144</v>
      </c>
      <c r="E255" s="8" t="s">
        <v>43</v>
      </c>
      <c r="F255" s="8"/>
      <c r="G255" s="8" t="s">
        <v>187</v>
      </c>
      <c r="H255" s="8" t="s">
        <v>187</v>
      </c>
      <c r="I255" s="8"/>
      <c r="J255" s="8" t="s">
        <v>190</v>
      </c>
      <c r="K255" s="8"/>
      <c r="L255" s="8" t="s">
        <v>222</v>
      </c>
      <c r="M255" s="8" t="s">
        <v>249</v>
      </c>
      <c r="N255" s="8" t="s">
        <v>223</v>
      </c>
      <c r="O255" s="8" t="s">
        <v>1294</v>
      </c>
      <c r="P255" s="8" t="s">
        <v>1276</v>
      </c>
      <c r="Q255" s="8"/>
      <c r="R255" s="8" t="s">
        <v>724</v>
      </c>
      <c r="S255" s="8" t="s">
        <v>958</v>
      </c>
      <c r="T255" s="5">
        <v>46174</v>
      </c>
      <c r="U255" s="8" t="s">
        <v>69</v>
      </c>
      <c r="V255" s="8" t="s">
        <v>70</v>
      </c>
      <c r="W255" s="8" t="s">
        <v>54</v>
      </c>
      <c r="X255" s="8"/>
      <c r="Y255" s="8" t="s">
        <v>1299</v>
      </c>
      <c r="Z255" s="8" t="s">
        <v>275</v>
      </c>
      <c r="AA255" s="11" t="s">
        <v>56</v>
      </c>
      <c r="AB255" s="8"/>
      <c r="AC255" s="8"/>
      <c r="AD255" s="8" t="s">
        <v>1300</v>
      </c>
      <c r="AE255" s="8" t="s">
        <v>190</v>
      </c>
      <c r="AF255" s="8"/>
      <c r="AG255" s="8"/>
      <c r="AH255" s="5" t="s">
        <v>73</v>
      </c>
      <c r="AI255" s="8"/>
      <c r="AJ255" s="8"/>
      <c r="AK255" s="8"/>
      <c r="AL255" s="8"/>
      <c r="AM255" s="8"/>
      <c r="AN255" s="8"/>
      <c r="AO255" s="8" t="s">
        <v>1297</v>
      </c>
    </row>
    <row r="256" spans="1:41" ht="28.5">
      <c r="A256" s="7" t="s">
        <v>1301</v>
      </c>
      <c r="B256" s="5">
        <v>46111</v>
      </c>
      <c r="C256" s="17" t="str">
        <f ca="1">IF(B256="","",IF(OR(TRIM(R256)="En curso",TRIM(R256)="En proceso de ingreso"),TODAY()-B256,"Cerrada"))</f>
        <v>Cerrada</v>
      </c>
      <c r="D256" s="8" t="s">
        <v>42</v>
      </c>
      <c r="E256" s="8" t="s">
        <v>43</v>
      </c>
      <c r="F256" s="8"/>
      <c r="G256" s="8" t="s">
        <v>44</v>
      </c>
      <c r="H256" s="8"/>
      <c r="I256" s="8"/>
      <c r="J256" s="8" t="s">
        <v>190</v>
      </c>
      <c r="K256" s="8"/>
      <c r="L256" s="8" t="s">
        <v>249</v>
      </c>
      <c r="M256" s="8" t="s">
        <v>249</v>
      </c>
      <c r="N256" s="8" t="s">
        <v>200</v>
      </c>
      <c r="O256" s="8" t="s">
        <v>410</v>
      </c>
      <c r="P256" s="8" t="s">
        <v>804</v>
      </c>
      <c r="Q256" s="8"/>
      <c r="R256" s="8" t="s">
        <v>52</v>
      </c>
      <c r="S256" s="8" t="s">
        <v>53</v>
      </c>
      <c r="T256" s="8"/>
      <c r="U256" s="8" t="s">
        <v>69</v>
      </c>
      <c r="V256" s="8" t="s">
        <v>472</v>
      </c>
      <c r="W256" s="8" t="s">
        <v>54</v>
      </c>
      <c r="X256" s="8"/>
      <c r="Y256" s="8" t="s">
        <v>1302</v>
      </c>
      <c r="Z256" s="8" t="s">
        <v>941</v>
      </c>
      <c r="AA256" s="8" t="s">
        <v>474</v>
      </c>
      <c r="AB256" s="8"/>
      <c r="AC256" s="8"/>
      <c r="AD256" s="8" t="s">
        <v>1303</v>
      </c>
      <c r="AE256" s="8" t="s">
        <v>190</v>
      </c>
      <c r="AF256" s="5">
        <v>46133</v>
      </c>
      <c r="AG256" s="5">
        <v>46135</v>
      </c>
      <c r="AH256" s="5" t="s">
        <v>73</v>
      </c>
      <c r="AI256" s="8"/>
      <c r="AJ256" s="8" t="s">
        <v>1304</v>
      </c>
      <c r="AK256" s="8" t="s">
        <v>1305</v>
      </c>
      <c r="AL256" s="8" t="s">
        <v>61</v>
      </c>
      <c r="AM256" s="8" t="s">
        <v>44</v>
      </c>
      <c r="AN256" s="8" t="s">
        <v>44</v>
      </c>
      <c r="AO256" s="8"/>
    </row>
    <row r="257" spans="1:41" ht="28.5" hidden="1">
      <c r="A257" s="7" t="s">
        <v>1306</v>
      </c>
      <c r="B257" s="5">
        <v>46112</v>
      </c>
      <c r="C257" s="17">
        <f ca="1">IF(B257="","",IF(OR(TRIM(R257)="En curso",TRIM(R257)="En proceso de ingreso"),TODAY()-B257,"Cerrada"))</f>
        <v>28</v>
      </c>
      <c r="D257" s="8" t="s">
        <v>42</v>
      </c>
      <c r="E257" s="8" t="s">
        <v>43</v>
      </c>
      <c r="F257" s="8"/>
      <c r="G257" s="8"/>
      <c r="H257" s="8"/>
      <c r="I257" s="8"/>
      <c r="J257" s="8" t="s">
        <v>145</v>
      </c>
      <c r="K257" s="8" t="s">
        <v>439</v>
      </c>
      <c r="L257" s="8" t="s">
        <v>440</v>
      </c>
      <c r="M257" s="8" t="s">
        <v>135</v>
      </c>
      <c r="N257" s="8" t="s">
        <v>409</v>
      </c>
      <c r="O257" s="8" t="s">
        <v>441</v>
      </c>
      <c r="P257" s="8" t="s">
        <v>442</v>
      </c>
      <c r="Q257" s="8"/>
      <c r="R257" s="8" t="s">
        <v>724</v>
      </c>
      <c r="S257" s="8" t="s">
        <v>958</v>
      </c>
      <c r="T257" s="5">
        <v>46153</v>
      </c>
      <c r="U257" s="8" t="s">
        <v>69</v>
      </c>
      <c r="V257" s="8" t="s">
        <v>472</v>
      </c>
      <c r="W257" s="8" t="s">
        <v>54</v>
      </c>
      <c r="X257" s="8">
        <v>169386</v>
      </c>
      <c r="Y257" s="8" t="s">
        <v>445</v>
      </c>
      <c r="Z257" s="8" t="s">
        <v>275</v>
      </c>
      <c r="AA257" s="11" t="s">
        <v>56</v>
      </c>
      <c r="AB257" s="8"/>
      <c r="AC257" s="8"/>
      <c r="AD257" s="8" t="s">
        <v>241</v>
      </c>
      <c r="AE257" s="8" t="s">
        <v>175</v>
      </c>
      <c r="AF257" s="5"/>
      <c r="AG257" s="5"/>
      <c r="AH257" s="5" t="s">
        <v>73</v>
      </c>
      <c r="AI257" s="8"/>
      <c r="AJ257" s="8"/>
      <c r="AK257" s="8" t="s">
        <v>1307</v>
      </c>
      <c r="AL257" s="8" t="s">
        <v>207</v>
      </c>
      <c r="AM257" s="8" t="s">
        <v>44</v>
      </c>
      <c r="AN257" s="8" t="s">
        <v>44</v>
      </c>
      <c r="AO257" s="8" t="s">
        <v>1308</v>
      </c>
    </row>
    <row r="258" spans="1:41" hidden="1">
      <c r="A258" s="7" t="s">
        <v>1309</v>
      </c>
      <c r="B258" s="5">
        <v>46113</v>
      </c>
      <c r="C258" s="17">
        <f ca="1">IF(B258="","",IF(OR(TRIM(R258)="En curso",TRIM(R258)="En proceso de ingreso"),TODAY()-B258,"Cerrada"))</f>
        <v>27</v>
      </c>
      <c r="D258" s="8" t="s">
        <v>467</v>
      </c>
      <c r="E258" s="8" t="s">
        <v>43</v>
      </c>
      <c r="F258" s="8"/>
      <c r="G258" s="8" t="s">
        <v>44</v>
      </c>
      <c r="H258" s="8"/>
      <c r="I258" s="8"/>
      <c r="J258" s="8" t="s">
        <v>45</v>
      </c>
      <c r="K258" s="8"/>
      <c r="L258" s="8" t="s">
        <v>468</v>
      </c>
      <c r="M258" s="8" t="s">
        <v>270</v>
      </c>
      <c r="N258" s="8" t="s">
        <v>469</v>
      </c>
      <c r="O258" s="8" t="s">
        <v>470</v>
      </c>
      <c r="P258" s="8" t="s">
        <v>471</v>
      </c>
      <c r="Q258" s="8"/>
      <c r="R258" s="8" t="s">
        <v>724</v>
      </c>
      <c r="S258" s="8" t="s">
        <v>725</v>
      </c>
      <c r="T258" s="5">
        <v>46188</v>
      </c>
      <c r="U258" s="8" t="s">
        <v>472</v>
      </c>
      <c r="V258" s="8" t="s">
        <v>70</v>
      </c>
      <c r="W258" s="8" t="s">
        <v>54</v>
      </c>
      <c r="X258" s="8"/>
      <c r="Y258" s="8"/>
      <c r="Z258" s="8" t="s">
        <v>275</v>
      </c>
      <c r="AA258" s="11" t="s">
        <v>56</v>
      </c>
      <c r="AB258" s="8"/>
      <c r="AC258" s="8"/>
      <c r="AD258" s="8"/>
      <c r="AE258" s="8"/>
      <c r="AF258" s="8"/>
      <c r="AG258" s="8"/>
      <c r="AH258" s="5"/>
      <c r="AI258" s="8"/>
      <c r="AJ258" s="8"/>
      <c r="AK258" s="8"/>
      <c r="AL258" s="8"/>
      <c r="AM258" s="8"/>
      <c r="AN258" s="8"/>
      <c r="AO258" s="8"/>
    </row>
    <row r="259" spans="1:41" ht="28.5">
      <c r="A259" s="7" t="s">
        <v>1310</v>
      </c>
      <c r="B259" s="5">
        <v>46113</v>
      </c>
      <c r="C259" s="17" t="str">
        <f ca="1">IF(B259="","",IF(OR(TRIM(R259)="En curso",TRIM(R259)="En proceso de ingreso"),TODAY()-B259,"Cerrada"))</f>
        <v>Cerrada</v>
      </c>
      <c r="D259" s="8" t="s">
        <v>42</v>
      </c>
      <c r="E259" s="8" t="s">
        <v>43</v>
      </c>
      <c r="F259" s="8"/>
      <c r="G259" s="8"/>
      <c r="H259" s="8"/>
      <c r="I259" s="8"/>
      <c r="J259" s="8" t="s">
        <v>145</v>
      </c>
      <c r="K259" s="8"/>
      <c r="L259" s="8" t="s">
        <v>1196</v>
      </c>
      <c r="M259" s="8" t="s">
        <v>1197</v>
      </c>
      <c r="N259" s="8" t="s">
        <v>170</v>
      </c>
      <c r="O259" s="8" t="s">
        <v>818</v>
      </c>
      <c r="P259" s="8" t="s">
        <v>296</v>
      </c>
      <c r="Q259" s="8"/>
      <c r="R259" s="8" t="s">
        <v>52</v>
      </c>
      <c r="S259" s="8" t="s">
        <v>53</v>
      </c>
      <c r="T259" s="5">
        <v>46133</v>
      </c>
      <c r="U259" s="8"/>
      <c r="V259" s="8"/>
      <c r="W259" s="8" t="s">
        <v>54</v>
      </c>
      <c r="X259" s="8"/>
      <c r="Y259" s="8" t="s">
        <v>1311</v>
      </c>
      <c r="Z259" s="8" t="s">
        <v>941</v>
      </c>
      <c r="AA259" s="8" t="s">
        <v>474</v>
      </c>
      <c r="AB259" s="8"/>
      <c r="AC259" s="8"/>
      <c r="AD259" s="8" t="s">
        <v>1312</v>
      </c>
      <c r="AE259" s="8" t="s">
        <v>175</v>
      </c>
      <c r="AF259" s="5">
        <v>46129</v>
      </c>
      <c r="AG259" s="5">
        <v>46133</v>
      </c>
      <c r="AH259" s="5"/>
      <c r="AI259" s="8"/>
      <c r="AJ259" s="8" t="s">
        <v>1313</v>
      </c>
      <c r="AK259" s="8" t="s">
        <v>1314</v>
      </c>
      <c r="AL259" s="8" t="s">
        <v>207</v>
      </c>
      <c r="AM259" s="8" t="s">
        <v>44</v>
      </c>
      <c r="AN259" s="8" t="s">
        <v>44</v>
      </c>
      <c r="AO259" s="8"/>
    </row>
    <row r="260" spans="1:41" hidden="1">
      <c r="A260" s="7" t="s">
        <v>1315</v>
      </c>
      <c r="B260" s="5">
        <v>46113</v>
      </c>
      <c r="C260" s="17" t="str">
        <f ca="1">IF(B260="","",IF(OR(TRIM(R260)="En curso",TRIM(R260)="En proceso de ingreso"),TODAY()-B260,"Cerrada"))</f>
        <v>Cerrada</v>
      </c>
      <c r="D260" s="8" t="s">
        <v>42</v>
      </c>
      <c r="E260" s="8" t="s">
        <v>43</v>
      </c>
      <c r="F260" s="8"/>
      <c r="G260" s="8"/>
      <c r="H260" s="8"/>
      <c r="I260" s="8"/>
      <c r="J260" s="8" t="s">
        <v>145</v>
      </c>
      <c r="K260" s="8"/>
      <c r="L260" s="8" t="s">
        <v>1196</v>
      </c>
      <c r="M260" s="8" t="s">
        <v>1197</v>
      </c>
      <c r="N260" s="8" t="s">
        <v>170</v>
      </c>
      <c r="O260" s="8" t="s">
        <v>818</v>
      </c>
      <c r="P260" s="8" t="s">
        <v>296</v>
      </c>
      <c r="Q260" s="8"/>
      <c r="R260" s="8" t="s">
        <v>754</v>
      </c>
      <c r="S260" s="8" t="s">
        <v>754</v>
      </c>
      <c r="T260" s="8"/>
      <c r="U260" s="8"/>
      <c r="V260" s="8"/>
      <c r="W260" s="8" t="s">
        <v>54</v>
      </c>
      <c r="X260" s="8"/>
      <c r="Y260" s="8" t="s">
        <v>1316</v>
      </c>
      <c r="Z260" s="8" t="s">
        <v>941</v>
      </c>
      <c r="AA260" s="11" t="s">
        <v>474</v>
      </c>
      <c r="AB260" s="8"/>
      <c r="AC260" s="8"/>
      <c r="AD260" s="8"/>
      <c r="AE260" s="8"/>
      <c r="AF260" s="8"/>
      <c r="AG260" s="8"/>
      <c r="AH260" s="5"/>
      <c r="AI260" s="8"/>
      <c r="AJ260" s="8"/>
      <c r="AK260" s="8"/>
      <c r="AL260" s="8"/>
      <c r="AM260" s="8"/>
      <c r="AN260" s="8"/>
      <c r="AO260" s="8"/>
    </row>
    <row r="261" spans="1:41" hidden="1">
      <c r="A261" s="7" t="s">
        <v>1317</v>
      </c>
      <c r="B261" s="5">
        <v>46111</v>
      </c>
      <c r="C261" s="17">
        <f ca="1">IF(B261="","",IF(OR(TRIM(R261)="En curso",TRIM(R261)="En proceso de ingreso"),TODAY()-B261,"Cerrada"))</f>
        <v>29</v>
      </c>
      <c r="D261" s="8" t="s">
        <v>144</v>
      </c>
      <c r="E261" s="8" t="s">
        <v>43</v>
      </c>
      <c r="F261" s="8"/>
      <c r="G261" s="8" t="s">
        <v>44</v>
      </c>
      <c r="H261" s="8" t="s">
        <v>44</v>
      </c>
      <c r="I261" s="8"/>
      <c r="J261" s="8" t="s">
        <v>145</v>
      </c>
      <c r="K261" s="8"/>
      <c r="L261" s="8" t="s">
        <v>1207</v>
      </c>
      <c r="M261" s="8" t="s">
        <v>766</v>
      </c>
      <c r="N261" s="8" t="s">
        <v>200</v>
      </c>
      <c r="O261" s="8" t="s">
        <v>201</v>
      </c>
      <c r="P261" s="8" t="s">
        <v>202</v>
      </c>
      <c r="Q261" s="8"/>
      <c r="R261" s="8" t="s">
        <v>743</v>
      </c>
      <c r="S261" s="8" t="s">
        <v>744</v>
      </c>
      <c r="T261" s="5">
        <v>46153</v>
      </c>
      <c r="U261" s="8" t="s">
        <v>69</v>
      </c>
      <c r="V261" s="8" t="s">
        <v>472</v>
      </c>
      <c r="W261" s="8" t="s">
        <v>54</v>
      </c>
      <c r="X261" s="8"/>
      <c r="Y261" s="8" t="s">
        <v>1318</v>
      </c>
      <c r="Z261" s="8" t="s">
        <v>1267</v>
      </c>
      <c r="AA261" s="11" t="s">
        <v>56</v>
      </c>
      <c r="AB261" s="8"/>
      <c r="AC261" s="8"/>
      <c r="AD261" s="8" t="s">
        <v>1319</v>
      </c>
      <c r="AE261" s="8" t="s">
        <v>175</v>
      </c>
      <c r="AF261" s="8"/>
      <c r="AG261" s="8"/>
      <c r="AH261" s="5" t="s">
        <v>73</v>
      </c>
      <c r="AI261" s="8"/>
      <c r="AJ261" s="8" t="s">
        <v>1320</v>
      </c>
      <c r="AK261" s="8"/>
      <c r="AL261" s="8"/>
      <c r="AM261" s="8"/>
      <c r="AN261" s="8"/>
      <c r="AO261" s="8" t="s">
        <v>1321</v>
      </c>
    </row>
    <row r="262" spans="1:41">
      <c r="A262" s="7" t="s">
        <v>1322</v>
      </c>
      <c r="B262" s="5">
        <v>46111</v>
      </c>
      <c r="C262" s="17" t="str">
        <f ca="1">IF(B262="","",IF(OR(TRIM(R262)="En curso",TRIM(R262)="En proceso de ingreso"),TODAY()-B262,"Cerrada"))</f>
        <v>Cerrada</v>
      </c>
      <c r="D262" s="8" t="s">
        <v>144</v>
      </c>
      <c r="E262" s="8" t="s">
        <v>43</v>
      </c>
      <c r="F262" s="8"/>
      <c r="G262" s="8" t="s">
        <v>44</v>
      </c>
      <c r="H262" s="8" t="s">
        <v>44</v>
      </c>
      <c r="I262" s="8"/>
      <c r="J262" s="8" t="s">
        <v>145</v>
      </c>
      <c r="K262" s="8"/>
      <c r="L262" s="8" t="s">
        <v>1207</v>
      </c>
      <c r="M262" s="8" t="s">
        <v>766</v>
      </c>
      <c r="N262" s="8" t="s">
        <v>200</v>
      </c>
      <c r="O262" s="8" t="s">
        <v>201</v>
      </c>
      <c r="P262" s="8" t="s">
        <v>202</v>
      </c>
      <c r="Q262" s="8"/>
      <c r="R262" s="8" t="s">
        <v>52</v>
      </c>
      <c r="S262" s="8" t="s">
        <v>53</v>
      </c>
      <c r="T262" s="8"/>
      <c r="U262" s="8"/>
      <c r="V262" s="8"/>
      <c r="W262" s="8" t="s">
        <v>54</v>
      </c>
      <c r="X262" s="8"/>
      <c r="Y262" s="8" t="s">
        <v>1323</v>
      </c>
      <c r="Z262" s="8" t="s">
        <v>1267</v>
      </c>
      <c r="AA262" s="11" t="s">
        <v>56</v>
      </c>
      <c r="AB262" s="8"/>
      <c r="AC262" s="8"/>
      <c r="AD262" s="8" t="s">
        <v>1319</v>
      </c>
      <c r="AE262" s="8" t="s">
        <v>175</v>
      </c>
      <c r="AF262" s="5">
        <v>46132</v>
      </c>
      <c r="AG262" s="5">
        <v>46132</v>
      </c>
      <c r="AH262" s="5" t="s">
        <v>73</v>
      </c>
      <c r="AI262" s="8"/>
      <c r="AJ262" s="8" t="s">
        <v>1324</v>
      </c>
      <c r="AK262" s="8" t="s">
        <v>611</v>
      </c>
      <c r="AL262" s="8"/>
      <c r="AM262" s="8"/>
      <c r="AN262" s="8"/>
      <c r="AO262" s="8" t="s">
        <v>1321</v>
      </c>
    </row>
    <row r="263" spans="1:41">
      <c r="A263" s="7" t="s">
        <v>1325</v>
      </c>
      <c r="B263" s="5">
        <v>46111</v>
      </c>
      <c r="C263" s="17" t="str">
        <f ca="1">IF(B263="","",IF(OR(TRIM(R263)="En curso",TRIM(R263)="En proceso de ingreso"),TODAY()-B263,"Cerrada"))</f>
        <v>Cerrada</v>
      </c>
      <c r="D263" s="8" t="s">
        <v>144</v>
      </c>
      <c r="E263" s="8" t="s">
        <v>43</v>
      </c>
      <c r="F263" s="8"/>
      <c r="G263" s="8" t="s">
        <v>44</v>
      </c>
      <c r="H263" s="8" t="s">
        <v>44</v>
      </c>
      <c r="I263" s="8"/>
      <c r="J263" s="8" t="s">
        <v>145</v>
      </c>
      <c r="K263" s="8"/>
      <c r="L263" s="8" t="s">
        <v>1207</v>
      </c>
      <c r="M263" s="8" t="s">
        <v>766</v>
      </c>
      <c r="N263" s="8" t="s">
        <v>200</v>
      </c>
      <c r="O263" s="8" t="s">
        <v>201</v>
      </c>
      <c r="P263" s="8" t="s">
        <v>202</v>
      </c>
      <c r="Q263" s="8"/>
      <c r="R263" s="8" t="s">
        <v>52</v>
      </c>
      <c r="S263" s="8" t="s">
        <v>53</v>
      </c>
      <c r="T263" s="8"/>
      <c r="U263" s="8"/>
      <c r="V263" s="8"/>
      <c r="W263" s="8" t="s">
        <v>54</v>
      </c>
      <c r="X263" s="8"/>
      <c r="Y263" s="8" t="s">
        <v>1326</v>
      </c>
      <c r="Z263" s="8" t="s">
        <v>941</v>
      </c>
      <c r="AA263" s="11" t="s">
        <v>56</v>
      </c>
      <c r="AB263" s="8"/>
      <c r="AC263" s="8"/>
      <c r="AD263" s="8" t="s">
        <v>1319</v>
      </c>
      <c r="AE263" s="8" t="s">
        <v>175</v>
      </c>
      <c r="AF263" s="5">
        <v>46132</v>
      </c>
      <c r="AG263" s="5">
        <v>46132</v>
      </c>
      <c r="AH263" s="5" t="s">
        <v>73</v>
      </c>
      <c r="AI263" s="8"/>
      <c r="AJ263" s="8" t="s">
        <v>1327</v>
      </c>
      <c r="AK263" s="8" t="s">
        <v>611</v>
      </c>
      <c r="AL263" s="8" t="s">
        <v>207</v>
      </c>
      <c r="AM263" s="8"/>
      <c r="AN263" s="8"/>
      <c r="AO263" s="8" t="s">
        <v>1328</v>
      </c>
    </row>
    <row r="264" spans="1:41" hidden="1">
      <c r="A264" s="7" t="s">
        <v>1329</v>
      </c>
      <c r="B264" s="5">
        <v>46111</v>
      </c>
      <c r="C264" s="17" t="str">
        <f ca="1">IF(B264="","",IF(OR(TRIM(R264)="En curso",TRIM(R264)="En proceso de ingreso"),TODAY()-B264,"Cerrada"))</f>
        <v>Cerrada</v>
      </c>
      <c r="D264" s="8" t="s">
        <v>144</v>
      </c>
      <c r="E264" s="8" t="s">
        <v>132</v>
      </c>
      <c r="F264" s="8"/>
      <c r="G264" s="8" t="s">
        <v>44</v>
      </c>
      <c r="H264" s="8" t="s">
        <v>44</v>
      </c>
      <c r="I264" s="8"/>
      <c r="J264" s="8" t="s">
        <v>145</v>
      </c>
      <c r="K264" s="8"/>
      <c r="L264" s="8" t="s">
        <v>1207</v>
      </c>
      <c r="M264" s="8" t="s">
        <v>766</v>
      </c>
      <c r="N264" s="8" t="s">
        <v>200</v>
      </c>
      <c r="O264" s="8" t="s">
        <v>201</v>
      </c>
      <c r="P264" s="8" t="s">
        <v>202</v>
      </c>
      <c r="Q264" s="8"/>
      <c r="R264" s="8" t="s">
        <v>132</v>
      </c>
      <c r="S264" s="8" t="s">
        <v>132</v>
      </c>
      <c r="T264" s="8"/>
      <c r="U264" s="8"/>
      <c r="V264" s="8"/>
      <c r="W264" s="8" t="s">
        <v>54</v>
      </c>
      <c r="X264" s="8"/>
      <c r="Y264" s="8" t="s">
        <v>1330</v>
      </c>
      <c r="Z264" s="8" t="s">
        <v>941</v>
      </c>
      <c r="AA264" s="11" t="s">
        <v>173</v>
      </c>
      <c r="AB264" s="8"/>
      <c r="AC264" s="8"/>
      <c r="AD264" s="8" t="s">
        <v>1331</v>
      </c>
      <c r="AE264" s="8" t="s">
        <v>175</v>
      </c>
      <c r="AF264" s="8"/>
      <c r="AG264" s="8"/>
      <c r="AH264" s="5" t="s">
        <v>73</v>
      </c>
      <c r="AI264" s="8"/>
      <c r="AJ264" s="8"/>
      <c r="AK264" s="8"/>
      <c r="AL264" s="8"/>
      <c r="AM264" s="8"/>
      <c r="AN264" s="8"/>
      <c r="AO264" s="8" t="s">
        <v>1332</v>
      </c>
    </row>
    <row r="265" spans="1:41" hidden="1">
      <c r="A265" s="7" t="s">
        <v>1333</v>
      </c>
      <c r="B265" s="5">
        <v>46111</v>
      </c>
      <c r="C265" s="17">
        <f ca="1">IF(B265="","",IF(OR(TRIM(R265)="En curso",TRIM(R265)="En proceso de ingreso"),TODAY()-B265,"Cerrada"))</f>
        <v>29</v>
      </c>
      <c r="D265" s="8" t="s">
        <v>144</v>
      </c>
      <c r="E265" s="8" t="s">
        <v>43</v>
      </c>
      <c r="F265" s="8"/>
      <c r="G265" s="8" t="s">
        <v>44</v>
      </c>
      <c r="H265" s="8" t="s">
        <v>44</v>
      </c>
      <c r="I265" s="8"/>
      <c r="J265" s="8" t="s">
        <v>145</v>
      </c>
      <c r="K265" s="8"/>
      <c r="L265" s="8" t="s">
        <v>1334</v>
      </c>
      <c r="M265" s="8" t="s">
        <v>1221</v>
      </c>
      <c r="N265" s="8" t="s">
        <v>213</v>
      </c>
      <c r="O265" s="8" t="s">
        <v>214</v>
      </c>
      <c r="P265" s="8" t="s">
        <v>1335</v>
      </c>
      <c r="Q265" s="8"/>
      <c r="R265" s="8" t="s">
        <v>724</v>
      </c>
      <c r="S265" s="8" t="s">
        <v>1291</v>
      </c>
      <c r="T265" s="5">
        <v>46174</v>
      </c>
      <c r="U265" s="8" t="s">
        <v>69</v>
      </c>
      <c r="V265" s="8" t="s">
        <v>70</v>
      </c>
      <c r="W265" s="8" t="s">
        <v>54</v>
      </c>
      <c r="X265" s="8"/>
      <c r="Y265" s="8" t="s">
        <v>1336</v>
      </c>
      <c r="Z265" s="8" t="s">
        <v>965</v>
      </c>
      <c r="AA265" s="11" t="s">
        <v>173</v>
      </c>
      <c r="AB265" s="8"/>
      <c r="AC265" s="8"/>
      <c r="AD265" s="8" t="s">
        <v>1337</v>
      </c>
      <c r="AE265" s="8" t="s">
        <v>175</v>
      </c>
      <c r="AF265" s="8"/>
      <c r="AG265" s="8"/>
      <c r="AH265" s="5" t="s">
        <v>73</v>
      </c>
      <c r="AI265" s="8"/>
      <c r="AJ265" s="8"/>
      <c r="AK265" s="8"/>
      <c r="AL265" s="8"/>
      <c r="AM265" s="8"/>
      <c r="AN265" s="8"/>
      <c r="AO265" s="8"/>
    </row>
    <row r="266" spans="1:41" hidden="1">
      <c r="A266" s="7" t="s">
        <v>1338</v>
      </c>
      <c r="B266" s="5">
        <v>46113</v>
      </c>
      <c r="C266" s="17">
        <f ca="1">IF(B266="","",IF(OR(TRIM(R266)="En curso",TRIM(R266)="En proceso de ingreso"),TODAY()-B266,"Cerrada"))</f>
        <v>27</v>
      </c>
      <c r="D266" s="8" t="s">
        <v>144</v>
      </c>
      <c r="E266" s="8" t="s">
        <v>43</v>
      </c>
      <c r="F266" s="8"/>
      <c r="G266" s="8" t="s">
        <v>44</v>
      </c>
      <c r="H266" s="8" t="s">
        <v>44</v>
      </c>
      <c r="I266" s="8"/>
      <c r="J266" s="8" t="s">
        <v>145</v>
      </c>
      <c r="K266" s="8"/>
      <c r="L266" s="8" t="s">
        <v>1339</v>
      </c>
      <c r="M266" s="8" t="s">
        <v>766</v>
      </c>
      <c r="N266" s="8" t="s">
        <v>108</v>
      </c>
      <c r="O266" s="8" t="s">
        <v>1340</v>
      </c>
      <c r="P266" s="8" t="s">
        <v>753</v>
      </c>
      <c r="Q266" s="8"/>
      <c r="R266" s="8" t="s">
        <v>724</v>
      </c>
      <c r="S266" s="8" t="s">
        <v>1341</v>
      </c>
      <c r="T266" s="5">
        <v>46160</v>
      </c>
      <c r="U266" s="8" t="s">
        <v>760</v>
      </c>
      <c r="V266" s="8" t="s">
        <v>472</v>
      </c>
      <c r="W266" s="8" t="s">
        <v>54</v>
      </c>
      <c r="X266" s="8"/>
      <c r="Y266" s="8" t="s">
        <v>1270</v>
      </c>
      <c r="Z266" s="8" t="s">
        <v>941</v>
      </c>
      <c r="AA266" s="11" t="s">
        <v>56</v>
      </c>
      <c r="AB266" s="8"/>
      <c r="AC266" s="8"/>
      <c r="AD266" s="8"/>
      <c r="AE266" s="8"/>
      <c r="AF266" s="8"/>
      <c r="AG266" s="8"/>
      <c r="AH266" s="5"/>
      <c r="AI266" s="8"/>
      <c r="AJ266" s="8"/>
      <c r="AK266" s="8"/>
      <c r="AL266" s="8"/>
      <c r="AM266" s="8"/>
      <c r="AN266" s="8"/>
      <c r="AO266" s="8"/>
    </row>
    <row r="267" spans="1:41" ht="28.5" hidden="1">
      <c r="A267" s="7" t="s">
        <v>1342</v>
      </c>
      <c r="B267" s="5">
        <v>46113</v>
      </c>
      <c r="C267" s="17">
        <f ca="1">IF(B267="","",IF(OR(TRIM(R267)="En curso",TRIM(R267)="En proceso de ingreso"),TODAY()-B267,"Cerrada"))</f>
        <v>27</v>
      </c>
      <c r="D267" s="8" t="s">
        <v>144</v>
      </c>
      <c r="E267" s="8" t="s">
        <v>43</v>
      </c>
      <c r="F267" s="8"/>
      <c r="G267" s="8" t="s">
        <v>44</v>
      </c>
      <c r="H267" s="8" t="s">
        <v>44</v>
      </c>
      <c r="I267" s="8"/>
      <c r="J267" s="8" t="s">
        <v>145</v>
      </c>
      <c r="K267" s="8"/>
      <c r="L267" s="8" t="s">
        <v>1343</v>
      </c>
      <c r="M267" s="8" t="s">
        <v>766</v>
      </c>
      <c r="N267" s="8" t="s">
        <v>213</v>
      </c>
      <c r="O267" s="8" t="s">
        <v>1344</v>
      </c>
      <c r="P267" s="8" t="s">
        <v>990</v>
      </c>
      <c r="Q267" s="8"/>
      <c r="R267" s="8" t="s">
        <v>743</v>
      </c>
      <c r="S267" s="8" t="s">
        <v>854</v>
      </c>
      <c r="T267" s="5">
        <v>46143</v>
      </c>
      <c r="U267" s="8" t="s">
        <v>760</v>
      </c>
      <c r="V267" s="8" t="s">
        <v>472</v>
      </c>
      <c r="W267" s="8" t="s">
        <v>54</v>
      </c>
      <c r="X267" s="8"/>
      <c r="Y267" s="8" t="s">
        <v>1345</v>
      </c>
      <c r="Z267" s="8" t="s">
        <v>941</v>
      </c>
      <c r="AA267" s="11" t="s">
        <v>56</v>
      </c>
      <c r="AB267" s="8"/>
      <c r="AC267" s="8"/>
      <c r="AD267" s="8" t="s">
        <v>1346</v>
      </c>
      <c r="AE267" s="8" t="s">
        <v>175</v>
      </c>
      <c r="AF267" s="5">
        <v>46133</v>
      </c>
      <c r="AG267" s="5">
        <v>46146</v>
      </c>
      <c r="AH267" s="5" t="s">
        <v>73</v>
      </c>
      <c r="AI267" s="8"/>
      <c r="AJ267" s="8" t="s">
        <v>1347</v>
      </c>
      <c r="AK267" s="8" t="s">
        <v>1348</v>
      </c>
      <c r="AL267" s="8" t="s">
        <v>207</v>
      </c>
      <c r="AM267" s="8" t="s">
        <v>44</v>
      </c>
      <c r="AN267" s="8" t="s">
        <v>44</v>
      </c>
      <c r="AO267" s="8"/>
    </row>
    <row r="268" spans="1:41" hidden="1">
      <c r="A268" s="7" t="s">
        <v>1349</v>
      </c>
      <c r="B268" s="5">
        <v>46113</v>
      </c>
      <c r="C268" s="17">
        <f ca="1">IF(B268="","",IF(OR(TRIM(R268)="En curso",TRIM(R268)="En proceso de ingreso"),TODAY()-B268,"Cerrada"))</f>
        <v>27</v>
      </c>
      <c r="D268" s="8" t="s">
        <v>144</v>
      </c>
      <c r="E268" s="8" t="s">
        <v>43</v>
      </c>
      <c r="F268" s="8"/>
      <c r="G268" s="8" t="s">
        <v>44</v>
      </c>
      <c r="H268" s="8" t="s">
        <v>44</v>
      </c>
      <c r="I268" s="8"/>
      <c r="J268" s="8" t="s">
        <v>145</v>
      </c>
      <c r="K268" s="8" t="s">
        <v>146</v>
      </c>
      <c r="L268" s="8" t="s">
        <v>222</v>
      </c>
      <c r="M268" s="8" t="s">
        <v>604</v>
      </c>
      <c r="N268" s="8" t="s">
        <v>223</v>
      </c>
      <c r="O268" s="8" t="s">
        <v>605</v>
      </c>
      <c r="P268" s="8" t="s">
        <v>606</v>
      </c>
      <c r="Q268" s="8"/>
      <c r="R268" s="8" t="s">
        <v>724</v>
      </c>
      <c r="S268" s="8" t="s">
        <v>958</v>
      </c>
      <c r="T268" s="5">
        <v>46160</v>
      </c>
      <c r="U268" s="8" t="s">
        <v>69</v>
      </c>
      <c r="V268" s="8" t="s">
        <v>472</v>
      </c>
      <c r="W268" s="8" t="s">
        <v>54</v>
      </c>
      <c r="X268" s="8"/>
      <c r="Y268" s="8" t="s">
        <v>1350</v>
      </c>
      <c r="Z268" s="8" t="s">
        <v>941</v>
      </c>
      <c r="AA268" s="11" t="s">
        <v>56</v>
      </c>
      <c r="AB268" s="8"/>
      <c r="AC268" s="8"/>
      <c r="AD268" s="8" t="s">
        <v>856</v>
      </c>
      <c r="AE268" s="8" t="s">
        <v>154</v>
      </c>
      <c r="AF268" s="8"/>
      <c r="AG268" s="8"/>
      <c r="AH268" s="5" t="s">
        <v>73</v>
      </c>
      <c r="AI268" s="8"/>
      <c r="AJ268" s="8"/>
      <c r="AK268" s="8"/>
      <c r="AL268" s="8"/>
      <c r="AM268" s="8"/>
      <c r="AN268" s="8"/>
      <c r="AO268" s="8"/>
    </row>
    <row r="269" spans="1:41" hidden="1">
      <c r="A269" s="7" t="s">
        <v>1351</v>
      </c>
      <c r="B269" s="5">
        <v>46125</v>
      </c>
      <c r="C269" s="17">
        <f ca="1">IF(B269="","",IF(OR(TRIM(R269)="En curso",TRIM(R269)="En proceso de ingreso"),TODAY()-B269,"Cerrada"))</f>
        <v>15</v>
      </c>
      <c r="D269" s="8" t="s">
        <v>104</v>
      </c>
      <c r="E269" s="8" t="s">
        <v>43</v>
      </c>
      <c r="F269" s="8"/>
      <c r="G269" s="8" t="s">
        <v>44</v>
      </c>
      <c r="H269" s="8"/>
      <c r="I269" s="8"/>
      <c r="J269" s="8" t="s">
        <v>190</v>
      </c>
      <c r="K269" s="8"/>
      <c r="L269" s="8" t="s">
        <v>563</v>
      </c>
      <c r="M269" s="8" t="s">
        <v>249</v>
      </c>
      <c r="N269" s="8" t="s">
        <v>170</v>
      </c>
      <c r="O269" s="8" t="s">
        <v>171</v>
      </c>
      <c r="P269" s="8" t="s">
        <v>1352</v>
      </c>
      <c r="Q269" s="8"/>
      <c r="R269" s="8" t="s">
        <v>724</v>
      </c>
      <c r="S269" s="8" t="s">
        <v>725</v>
      </c>
      <c r="T269" s="5">
        <v>46174</v>
      </c>
      <c r="U269" s="8" t="s">
        <v>69</v>
      </c>
      <c r="V269" s="8" t="s">
        <v>139</v>
      </c>
      <c r="W269" s="8" t="s">
        <v>54</v>
      </c>
      <c r="X269" s="8">
        <v>11</v>
      </c>
      <c r="Y269" s="8" t="s">
        <v>1353</v>
      </c>
      <c r="Z269" s="8" t="s">
        <v>1354</v>
      </c>
      <c r="AA269" s="11" t="s">
        <v>56</v>
      </c>
      <c r="AB269" s="8"/>
      <c r="AC269" s="8"/>
      <c r="AD269" s="8" t="s">
        <v>1355</v>
      </c>
      <c r="AE269" s="8" t="s">
        <v>1356</v>
      </c>
      <c r="AF269" s="8"/>
      <c r="AG269" s="8"/>
      <c r="AH269" s="5" t="s">
        <v>73</v>
      </c>
      <c r="AI269" s="8"/>
      <c r="AJ269" s="8"/>
      <c r="AK269" s="8"/>
      <c r="AL269" s="8"/>
      <c r="AM269" s="8"/>
      <c r="AN269" s="8"/>
      <c r="AO269" s="8"/>
    </row>
    <row r="270" spans="1:41" ht="28.5">
      <c r="A270" s="7" t="s">
        <v>1357</v>
      </c>
      <c r="B270" s="5">
        <v>46112</v>
      </c>
      <c r="C270" s="17" t="str">
        <f ca="1">IF(B270="","",IF(OR(TRIM(R270)="En curso",TRIM(R270)="En proceso de ingreso"),TODAY()-B270,"Cerrada"))</f>
        <v>Cerrada</v>
      </c>
      <c r="D270" s="8" t="s">
        <v>467</v>
      </c>
      <c r="E270" s="8" t="s">
        <v>43</v>
      </c>
      <c r="F270" s="8"/>
      <c r="G270" s="8" t="s">
        <v>44</v>
      </c>
      <c r="H270" s="8"/>
      <c r="I270" s="8"/>
      <c r="J270" s="8" t="s">
        <v>180</v>
      </c>
      <c r="K270" s="8" t="s">
        <v>46</v>
      </c>
      <c r="L270" s="8" t="s">
        <v>1358</v>
      </c>
      <c r="M270" s="8" t="s">
        <v>1153</v>
      </c>
      <c r="N270" s="8" t="s">
        <v>170</v>
      </c>
      <c r="O270" s="8" t="s">
        <v>1359</v>
      </c>
      <c r="P270" s="8" t="s">
        <v>1360</v>
      </c>
      <c r="Q270" s="8"/>
      <c r="R270" s="8" t="s">
        <v>52</v>
      </c>
      <c r="S270" s="8" t="s">
        <v>53</v>
      </c>
      <c r="T270" s="8"/>
      <c r="U270" s="8"/>
      <c r="V270" s="8"/>
      <c r="W270" s="8" t="s">
        <v>54</v>
      </c>
      <c r="X270" s="8"/>
      <c r="Y270" s="8" t="s">
        <v>1361</v>
      </c>
      <c r="Z270" s="8" t="s">
        <v>941</v>
      </c>
      <c r="AA270" s="11" t="s">
        <v>56</v>
      </c>
      <c r="AB270" s="8"/>
      <c r="AC270" s="8"/>
      <c r="AD270" s="8" t="s">
        <v>1355</v>
      </c>
      <c r="AE270" s="8" t="s">
        <v>113</v>
      </c>
      <c r="AF270" s="5">
        <v>46119</v>
      </c>
      <c r="AG270" s="5">
        <v>46120</v>
      </c>
      <c r="AH270" s="5" t="s">
        <v>609</v>
      </c>
      <c r="AI270" s="8" t="s">
        <v>1362</v>
      </c>
      <c r="AJ270" s="8" t="s">
        <v>1363</v>
      </c>
      <c r="AK270" s="8"/>
      <c r="AL270" s="8"/>
      <c r="AM270" s="8"/>
      <c r="AN270" s="8"/>
      <c r="AO270" s="8"/>
    </row>
    <row r="271" spans="1:41">
      <c r="A271" s="7" t="s">
        <v>1364</v>
      </c>
      <c r="B271" s="5">
        <v>46108</v>
      </c>
      <c r="C271" s="17" t="str">
        <f ca="1">IF(B271="","",IF(OR(TRIM(R271)="En curso",TRIM(R271)="En proceso de ingreso"),TODAY()-B271,"Cerrada"))</f>
        <v>Cerrada</v>
      </c>
      <c r="D271" s="8" t="s">
        <v>144</v>
      </c>
      <c r="E271" s="8" t="s">
        <v>43</v>
      </c>
      <c r="F271" s="8"/>
      <c r="G271" s="8" t="s">
        <v>44</v>
      </c>
      <c r="H271" s="8" t="s">
        <v>44</v>
      </c>
      <c r="I271" s="8"/>
      <c r="J271" s="8" t="s">
        <v>145</v>
      </c>
      <c r="K271" s="8"/>
      <c r="L271" s="8" t="s">
        <v>1339</v>
      </c>
      <c r="M271" s="8" t="s">
        <v>766</v>
      </c>
      <c r="N271" s="8" t="s">
        <v>223</v>
      </c>
      <c r="O271" s="8" t="s">
        <v>1294</v>
      </c>
      <c r="P271" s="8" t="s">
        <v>225</v>
      </c>
      <c r="Q271" s="8"/>
      <c r="R271" s="8" t="s">
        <v>52</v>
      </c>
      <c r="S271" s="8" t="s">
        <v>53</v>
      </c>
      <c r="T271" s="8"/>
      <c r="U271" s="8" t="s">
        <v>69</v>
      </c>
      <c r="V271" s="8" t="s">
        <v>69</v>
      </c>
      <c r="W271" s="8" t="s">
        <v>54</v>
      </c>
      <c r="X271" s="8">
        <v>168864</v>
      </c>
      <c r="Y271" s="8" t="s">
        <v>1365</v>
      </c>
      <c r="Z271" s="8" t="s">
        <v>941</v>
      </c>
      <c r="AA271" s="8" t="s">
        <v>474</v>
      </c>
      <c r="AB271" s="8"/>
      <c r="AC271" s="8"/>
      <c r="AD271" s="8" t="s">
        <v>1366</v>
      </c>
      <c r="AE271" s="8" t="s">
        <v>175</v>
      </c>
      <c r="AF271" s="5">
        <v>46132</v>
      </c>
      <c r="AG271" s="5">
        <v>46132</v>
      </c>
      <c r="AH271" s="5"/>
      <c r="AI271" s="8"/>
      <c r="AJ271" s="8" t="s">
        <v>1367</v>
      </c>
      <c r="AK271" s="8" t="s">
        <v>611</v>
      </c>
      <c r="AL271" s="8" t="s">
        <v>207</v>
      </c>
      <c r="AM271" s="8"/>
      <c r="AN271" s="8"/>
      <c r="AO271" s="8"/>
    </row>
    <row r="272" spans="1:41" hidden="1">
      <c r="A272" s="7" t="s">
        <v>1368</v>
      </c>
      <c r="B272" s="5">
        <v>46108</v>
      </c>
      <c r="C272" s="17">
        <f ca="1">IF(B272="","",IF(OR(TRIM(R272)="En curso",TRIM(R272)="En proceso de ingreso"),TODAY()-B272,"Cerrada"))</f>
        <v>32</v>
      </c>
      <c r="D272" s="8" t="s">
        <v>42</v>
      </c>
      <c r="E272" s="8" t="s">
        <v>43</v>
      </c>
      <c r="F272" s="8"/>
      <c r="G272" s="8" t="s">
        <v>44</v>
      </c>
      <c r="H272" s="8"/>
      <c r="I272" s="8"/>
      <c r="J272" s="8" t="s">
        <v>45</v>
      </c>
      <c r="K272" s="8"/>
      <c r="L272" s="8" t="s">
        <v>47</v>
      </c>
      <c r="M272" s="8" t="s">
        <v>48</v>
      </c>
      <c r="N272" s="8" t="s">
        <v>49</v>
      </c>
      <c r="O272" s="8" t="s">
        <v>50</v>
      </c>
      <c r="P272" s="8" t="s">
        <v>51</v>
      </c>
      <c r="Q272" s="8"/>
      <c r="R272" s="8" t="s">
        <v>743</v>
      </c>
      <c r="S272" s="8" t="s">
        <v>744</v>
      </c>
      <c r="T272" s="5">
        <v>46153</v>
      </c>
      <c r="U272" s="8" t="s">
        <v>69</v>
      </c>
      <c r="V272" s="8" t="s">
        <v>70</v>
      </c>
      <c r="W272" s="8" t="s">
        <v>54</v>
      </c>
      <c r="X272" s="8">
        <v>170632</v>
      </c>
      <c r="Y272" s="8" t="s">
        <v>1369</v>
      </c>
      <c r="Z272" s="8" t="s">
        <v>941</v>
      </c>
      <c r="AA272" s="8" t="s">
        <v>56</v>
      </c>
      <c r="AB272" s="8"/>
      <c r="AC272" s="8"/>
      <c r="AD272" s="8"/>
      <c r="AE272" s="8"/>
      <c r="AF272" s="8"/>
      <c r="AG272" s="8"/>
      <c r="AH272" s="5"/>
      <c r="AI272" s="8"/>
      <c r="AJ272" s="8"/>
      <c r="AK272" s="8"/>
      <c r="AL272" s="8"/>
      <c r="AM272" s="8"/>
      <c r="AN272" s="8"/>
      <c r="AO272" s="8"/>
    </row>
    <row r="273" spans="1:41" hidden="1">
      <c r="A273" s="7" t="s">
        <v>1370</v>
      </c>
      <c r="B273" s="5">
        <v>46112</v>
      </c>
      <c r="C273" s="17">
        <f ca="1">IF(B273="","",IF(OR(TRIM(R273)="En curso",TRIM(R273)="En proceso de ingreso"),TODAY()-B273,"Cerrada"))</f>
        <v>28</v>
      </c>
      <c r="D273" s="8" t="s">
        <v>42</v>
      </c>
      <c r="E273" s="8" t="s">
        <v>43</v>
      </c>
      <c r="F273" s="8"/>
      <c r="G273" s="8" t="s">
        <v>44</v>
      </c>
      <c r="H273" s="8"/>
      <c r="I273" s="8"/>
      <c r="J273" s="8" t="s">
        <v>45</v>
      </c>
      <c r="K273" s="8"/>
      <c r="L273" s="8" t="s">
        <v>47</v>
      </c>
      <c r="M273" s="8" t="s">
        <v>48</v>
      </c>
      <c r="N273" s="8" t="s">
        <v>49</v>
      </c>
      <c r="O273" s="8" t="s">
        <v>50</v>
      </c>
      <c r="P273" s="8" t="s">
        <v>51</v>
      </c>
      <c r="Q273" s="8"/>
      <c r="R273" s="8" t="s">
        <v>743</v>
      </c>
      <c r="S273" s="8" t="s">
        <v>744</v>
      </c>
      <c r="T273" s="5">
        <v>46153</v>
      </c>
      <c r="U273" s="8" t="s">
        <v>69</v>
      </c>
      <c r="V273" s="8" t="s">
        <v>70</v>
      </c>
      <c r="W273" s="8" t="s">
        <v>54</v>
      </c>
      <c r="X273" s="8">
        <v>1094</v>
      </c>
      <c r="Y273" s="8" t="s">
        <v>1371</v>
      </c>
      <c r="Z273" s="8" t="s">
        <v>941</v>
      </c>
      <c r="AA273" s="8" t="s">
        <v>56</v>
      </c>
      <c r="AB273" s="8"/>
      <c r="AC273" s="8"/>
      <c r="AD273" s="8"/>
      <c r="AE273" s="8"/>
      <c r="AF273" s="8"/>
      <c r="AG273" s="8"/>
      <c r="AH273" s="5"/>
      <c r="AI273" s="8"/>
      <c r="AJ273" s="8"/>
      <c r="AK273" s="8"/>
      <c r="AL273" s="8"/>
      <c r="AM273" s="8"/>
      <c r="AN273" s="8"/>
      <c r="AO273" s="8"/>
    </row>
    <row r="274" spans="1:41" hidden="1">
      <c r="A274" s="7" t="s">
        <v>1372</v>
      </c>
      <c r="B274" s="5">
        <v>46097</v>
      </c>
      <c r="C274" s="17">
        <f ca="1">IF(B274="","",IF(OR(TRIM(R274)="En curso",TRIM(R274)="En proceso de ingreso"),TODAY()-B274,"Cerrada"))</f>
        <v>43</v>
      </c>
      <c r="D274" s="8" t="s">
        <v>42</v>
      </c>
      <c r="E274" s="8" t="s">
        <v>43</v>
      </c>
      <c r="F274" s="8"/>
      <c r="G274" s="8" t="s">
        <v>44</v>
      </c>
      <c r="H274" s="8"/>
      <c r="I274" s="8"/>
      <c r="J274" s="8" t="s">
        <v>45</v>
      </c>
      <c r="K274" s="8"/>
      <c r="L274" s="8" t="s">
        <v>47</v>
      </c>
      <c r="M274" s="8" t="s">
        <v>48</v>
      </c>
      <c r="N274" s="8" t="s">
        <v>49</v>
      </c>
      <c r="O274" s="8" t="s">
        <v>50</v>
      </c>
      <c r="P274" s="8" t="s">
        <v>51</v>
      </c>
      <c r="Q274" s="8"/>
      <c r="R274" s="8" t="s">
        <v>724</v>
      </c>
      <c r="S274" s="8" t="s">
        <v>1291</v>
      </c>
      <c r="T274" s="5">
        <v>46174</v>
      </c>
      <c r="U274" s="8" t="s">
        <v>69</v>
      </c>
      <c r="V274" s="8" t="s">
        <v>70</v>
      </c>
      <c r="W274" s="8" t="s">
        <v>54</v>
      </c>
      <c r="X274" s="8">
        <v>1093</v>
      </c>
      <c r="Y274" s="8" t="s">
        <v>1373</v>
      </c>
      <c r="Z274" s="8" t="s">
        <v>275</v>
      </c>
      <c r="AA274" s="8" t="s">
        <v>56</v>
      </c>
      <c r="AB274" s="8"/>
      <c r="AC274" s="8"/>
      <c r="AD274" s="8"/>
      <c r="AE274" s="8"/>
      <c r="AF274" s="8"/>
      <c r="AG274" s="8"/>
      <c r="AH274" s="5"/>
      <c r="AI274" s="8"/>
      <c r="AJ274" s="8"/>
      <c r="AK274" s="8"/>
      <c r="AL274" s="8"/>
      <c r="AM274" s="8"/>
      <c r="AN274" s="8"/>
      <c r="AO274" s="8"/>
    </row>
    <row r="275" spans="1:41" hidden="1">
      <c r="A275" s="7" t="s">
        <v>1374</v>
      </c>
      <c r="B275" s="5">
        <v>46097</v>
      </c>
      <c r="C275" s="17">
        <f ca="1">IF(B275="","",IF(OR(TRIM(R275)="En curso",TRIM(R275)="En proceso de ingreso"),TODAY()-B275,"Cerrada"))</f>
        <v>43</v>
      </c>
      <c r="D275" s="8" t="s">
        <v>42</v>
      </c>
      <c r="E275" s="8" t="s">
        <v>43</v>
      </c>
      <c r="F275" s="8"/>
      <c r="G275" s="8" t="s">
        <v>44</v>
      </c>
      <c r="H275" s="8"/>
      <c r="I275" s="8"/>
      <c r="J275" s="8" t="s">
        <v>45</v>
      </c>
      <c r="K275" s="8"/>
      <c r="L275" s="8" t="s">
        <v>47</v>
      </c>
      <c r="M275" s="8" t="s">
        <v>48</v>
      </c>
      <c r="N275" s="8" t="s">
        <v>49</v>
      </c>
      <c r="O275" s="8" t="s">
        <v>50</v>
      </c>
      <c r="P275" s="8" t="s">
        <v>51</v>
      </c>
      <c r="Q275" s="8"/>
      <c r="R275" s="8" t="s">
        <v>724</v>
      </c>
      <c r="S275" s="8" t="s">
        <v>1291</v>
      </c>
      <c r="T275" s="5">
        <v>46174</v>
      </c>
      <c r="U275" s="8" t="s">
        <v>69</v>
      </c>
      <c r="V275" s="8" t="s">
        <v>70</v>
      </c>
      <c r="W275" s="8" t="s">
        <v>54</v>
      </c>
      <c r="X275" s="8">
        <v>168680</v>
      </c>
      <c r="Y275" s="8" t="s">
        <v>1375</v>
      </c>
      <c r="Z275" s="8" t="s">
        <v>275</v>
      </c>
      <c r="AA275" s="8" t="s">
        <v>56</v>
      </c>
      <c r="AB275" s="8"/>
      <c r="AC275" s="8"/>
      <c r="AD275" s="8"/>
      <c r="AE275" s="8"/>
      <c r="AF275" s="8"/>
      <c r="AG275" s="8"/>
      <c r="AH275" s="5"/>
      <c r="AI275" s="8"/>
      <c r="AJ275" s="8"/>
      <c r="AK275" s="8"/>
      <c r="AL275" s="8"/>
      <c r="AM275" s="8"/>
      <c r="AN275" s="8"/>
      <c r="AO275" s="8"/>
    </row>
    <row r="276" spans="1:41" hidden="1">
      <c r="A276" s="7" t="s">
        <v>1376</v>
      </c>
      <c r="B276" s="5">
        <v>46097</v>
      </c>
      <c r="C276" s="17">
        <f ca="1">IF(B276="","",IF(OR(TRIM(R276)="En curso",TRIM(R276)="En proceso de ingreso"),TODAY()-B276,"Cerrada"))</f>
        <v>43</v>
      </c>
      <c r="D276" s="8" t="s">
        <v>42</v>
      </c>
      <c r="E276" s="8" t="s">
        <v>43</v>
      </c>
      <c r="F276" s="8"/>
      <c r="G276" s="8" t="s">
        <v>44</v>
      </c>
      <c r="H276" s="8"/>
      <c r="I276" s="8"/>
      <c r="J276" s="8" t="s">
        <v>45</v>
      </c>
      <c r="K276" s="8"/>
      <c r="L276" s="8" t="s">
        <v>47</v>
      </c>
      <c r="M276" s="8" t="s">
        <v>48</v>
      </c>
      <c r="N276" s="8" t="s">
        <v>49</v>
      </c>
      <c r="O276" s="8" t="s">
        <v>50</v>
      </c>
      <c r="P276" s="8" t="s">
        <v>51</v>
      </c>
      <c r="Q276" s="8"/>
      <c r="R276" s="8" t="s">
        <v>724</v>
      </c>
      <c r="S276" s="8" t="s">
        <v>1291</v>
      </c>
      <c r="T276" s="5">
        <v>46174</v>
      </c>
      <c r="U276" s="8" t="s">
        <v>69</v>
      </c>
      <c r="V276" s="8" t="s">
        <v>70</v>
      </c>
      <c r="W276" s="8" t="s">
        <v>54</v>
      </c>
      <c r="X276" s="8">
        <v>168697</v>
      </c>
      <c r="Y276" s="8" t="s">
        <v>1377</v>
      </c>
      <c r="Z276" s="8" t="s">
        <v>275</v>
      </c>
      <c r="AA276" s="8" t="s">
        <v>56</v>
      </c>
      <c r="AB276" s="8"/>
      <c r="AC276" s="8"/>
      <c r="AD276" s="8"/>
      <c r="AE276" s="8"/>
      <c r="AF276" s="8"/>
      <c r="AG276" s="8"/>
      <c r="AH276" s="5"/>
      <c r="AI276" s="8"/>
      <c r="AJ276" s="8"/>
      <c r="AK276" s="8"/>
      <c r="AL276" s="8"/>
      <c r="AM276" s="8"/>
      <c r="AN276" s="8"/>
      <c r="AO276" s="8"/>
    </row>
    <row r="277" spans="1:41">
      <c r="A277" s="7" t="s">
        <v>1378</v>
      </c>
      <c r="B277" s="5">
        <v>46111</v>
      </c>
      <c r="C277" s="17" t="str">
        <f ca="1">IF(B277="","",IF(OR(TRIM(R277)="En curso",TRIM(R277)="En proceso de ingreso"),TODAY()-B277,"Cerrada"))</f>
        <v>Cerrada</v>
      </c>
      <c r="D277" s="8" t="s">
        <v>144</v>
      </c>
      <c r="E277" s="8" t="s">
        <v>43</v>
      </c>
      <c r="F277" s="8"/>
      <c r="G277" s="8" t="s">
        <v>44</v>
      </c>
      <c r="H277" s="8" t="s">
        <v>44</v>
      </c>
      <c r="I277" s="8"/>
      <c r="J277" s="8" t="s">
        <v>145</v>
      </c>
      <c r="K277" s="8"/>
      <c r="L277" s="8" t="s">
        <v>1339</v>
      </c>
      <c r="M277" s="8" t="s">
        <v>766</v>
      </c>
      <c r="N277" s="8" t="s">
        <v>223</v>
      </c>
      <c r="O277" s="8" t="s">
        <v>1294</v>
      </c>
      <c r="P277" s="8" t="s">
        <v>606</v>
      </c>
      <c r="Q277" s="8"/>
      <c r="R277" s="8" t="s">
        <v>52</v>
      </c>
      <c r="S277" s="8" t="s">
        <v>53</v>
      </c>
      <c r="T277" s="8"/>
      <c r="U277" s="8" t="s">
        <v>69</v>
      </c>
      <c r="V277" s="8" t="s">
        <v>69</v>
      </c>
      <c r="W277" s="8" t="s">
        <v>54</v>
      </c>
      <c r="X277" s="8">
        <v>168840</v>
      </c>
      <c r="Y277" s="8" t="s">
        <v>1379</v>
      </c>
      <c r="Z277" s="8" t="s">
        <v>941</v>
      </c>
      <c r="AA277" s="8" t="s">
        <v>474</v>
      </c>
      <c r="AB277" s="8"/>
      <c r="AC277" s="8"/>
      <c r="AD277" s="8" t="s">
        <v>1366</v>
      </c>
      <c r="AE277" s="8" t="s">
        <v>175</v>
      </c>
      <c r="AF277" s="5">
        <v>46132</v>
      </c>
      <c r="AG277" s="5">
        <v>46132</v>
      </c>
      <c r="AH277" s="5"/>
      <c r="AI277" s="8"/>
      <c r="AJ277" s="8" t="s">
        <v>1380</v>
      </c>
      <c r="AK277" s="8" t="s">
        <v>611</v>
      </c>
      <c r="AL277" s="8" t="s">
        <v>207</v>
      </c>
      <c r="AM277" s="8"/>
      <c r="AN277" s="8"/>
      <c r="AO277" s="8"/>
    </row>
    <row r="278" spans="1:41" hidden="1">
      <c r="A278" s="7" t="s">
        <v>1381</v>
      </c>
      <c r="B278" s="5">
        <v>46111</v>
      </c>
      <c r="C278" s="17">
        <f ca="1">IF(B278="","",IF(OR(TRIM(R278)="En curso",TRIM(R278)="En proceso de ingreso"),TODAY()-B278,"Cerrada"))</f>
        <v>29</v>
      </c>
      <c r="D278" s="8" t="s">
        <v>144</v>
      </c>
      <c r="E278" s="8" t="s">
        <v>43</v>
      </c>
      <c r="F278" s="8"/>
      <c r="G278" s="8" t="s">
        <v>44</v>
      </c>
      <c r="H278" s="8" t="s">
        <v>44</v>
      </c>
      <c r="I278" s="8"/>
      <c r="J278" s="8" t="s">
        <v>145</v>
      </c>
      <c r="K278" s="8"/>
      <c r="L278" s="8" t="s">
        <v>222</v>
      </c>
      <c r="M278" s="8" t="s">
        <v>1221</v>
      </c>
      <c r="N278" s="8" t="s">
        <v>223</v>
      </c>
      <c r="O278" s="8" t="s">
        <v>224</v>
      </c>
      <c r="P278" s="8" t="s">
        <v>606</v>
      </c>
      <c r="Q278" s="8"/>
      <c r="R278" s="8" t="s">
        <v>724</v>
      </c>
      <c r="S278" s="8" t="s">
        <v>958</v>
      </c>
      <c r="T278" s="5">
        <v>46160</v>
      </c>
      <c r="U278" s="8" t="s">
        <v>760</v>
      </c>
      <c r="V278" s="8" t="s">
        <v>69</v>
      </c>
      <c r="W278" s="8" t="s">
        <v>54</v>
      </c>
      <c r="X278" s="8">
        <v>169737</v>
      </c>
      <c r="Y278" s="8" t="s">
        <v>1382</v>
      </c>
      <c r="Z278" s="8" t="s">
        <v>275</v>
      </c>
      <c r="AA278" s="8" t="s">
        <v>474</v>
      </c>
      <c r="AB278" s="8"/>
      <c r="AC278" s="8"/>
      <c r="AD278" s="8" t="s">
        <v>1366</v>
      </c>
      <c r="AE278" s="8" t="s">
        <v>175</v>
      </c>
      <c r="AF278" s="5"/>
      <c r="AG278" s="5"/>
      <c r="AH278" s="5"/>
      <c r="AI278" s="8"/>
      <c r="AJ278" s="8"/>
      <c r="AK278" s="8"/>
      <c r="AL278" s="8" t="s">
        <v>207</v>
      </c>
      <c r="AM278" s="8"/>
      <c r="AN278" s="8"/>
      <c r="AO278" s="8"/>
    </row>
    <row r="279" spans="1:41" ht="28.5" hidden="1">
      <c r="A279" s="7" t="s">
        <v>1383</v>
      </c>
      <c r="B279" s="5">
        <v>46113</v>
      </c>
      <c r="C279" s="17">
        <f ca="1">IF(B279="","",IF(OR(TRIM(R279)="En curso",TRIM(R279)="En proceso de ingreso"),TODAY()-B279,"Cerrada"))</f>
        <v>27</v>
      </c>
      <c r="D279" s="8" t="s">
        <v>144</v>
      </c>
      <c r="E279" s="8" t="s">
        <v>43</v>
      </c>
      <c r="F279" s="8"/>
      <c r="G279" s="8" t="s">
        <v>44</v>
      </c>
      <c r="H279" s="8" t="s">
        <v>44</v>
      </c>
      <c r="I279" s="8"/>
      <c r="J279" s="8" t="s">
        <v>145</v>
      </c>
      <c r="K279" s="8"/>
      <c r="L279" s="8" t="s">
        <v>1339</v>
      </c>
      <c r="M279" s="8" t="s">
        <v>766</v>
      </c>
      <c r="N279" s="8" t="s">
        <v>149</v>
      </c>
      <c r="O279" s="8" t="s">
        <v>150</v>
      </c>
      <c r="P279" s="8" t="s">
        <v>753</v>
      </c>
      <c r="Q279" s="8"/>
      <c r="R279" s="8" t="s">
        <v>743</v>
      </c>
      <c r="S279" s="8" t="s">
        <v>854</v>
      </c>
      <c r="T279" s="5">
        <v>46145</v>
      </c>
      <c r="U279" s="8" t="s">
        <v>760</v>
      </c>
      <c r="V279" s="8" t="s">
        <v>139</v>
      </c>
      <c r="W279" s="8" t="s">
        <v>54</v>
      </c>
      <c r="X279" s="8">
        <v>155642</v>
      </c>
      <c r="Y279" s="8" t="s">
        <v>1384</v>
      </c>
      <c r="Z279" s="8" t="s">
        <v>941</v>
      </c>
      <c r="AA279" s="8" t="s">
        <v>56</v>
      </c>
      <c r="AB279" s="8"/>
      <c r="AC279" s="8"/>
      <c r="AD279" s="8" t="s">
        <v>1385</v>
      </c>
      <c r="AE279" s="8" t="s">
        <v>175</v>
      </c>
      <c r="AF279" s="5">
        <v>46133</v>
      </c>
      <c r="AG279" s="5">
        <v>46145</v>
      </c>
      <c r="AH279" s="5" t="s">
        <v>73</v>
      </c>
      <c r="AI279" s="8"/>
      <c r="AJ279" s="8" t="s">
        <v>1386</v>
      </c>
      <c r="AK279" s="8" t="s">
        <v>1387</v>
      </c>
      <c r="AL279" s="8" t="s">
        <v>157</v>
      </c>
      <c r="AM279" s="8"/>
      <c r="AN279" s="8"/>
      <c r="AO279" s="8"/>
    </row>
    <row r="280" spans="1:41">
      <c r="A280" s="7" t="s">
        <v>1388</v>
      </c>
      <c r="B280" s="5">
        <v>46113</v>
      </c>
      <c r="C280" s="17" t="str">
        <f ca="1">IF(B280="","",IF(OR(TRIM(R280)="En curso",TRIM(R280)="En proceso de ingreso"),TODAY()-B280,"Cerrada"))</f>
        <v>Cerrada</v>
      </c>
      <c r="D280" s="8" t="s">
        <v>144</v>
      </c>
      <c r="E280" s="8" t="s">
        <v>43</v>
      </c>
      <c r="F280" s="8"/>
      <c r="G280" s="8" t="s">
        <v>44</v>
      </c>
      <c r="H280" s="8" t="s">
        <v>44</v>
      </c>
      <c r="I280" s="8"/>
      <c r="J280" s="8" t="s">
        <v>145</v>
      </c>
      <c r="K280" s="8"/>
      <c r="L280" s="8" t="s">
        <v>1339</v>
      </c>
      <c r="M280" s="8" t="s">
        <v>766</v>
      </c>
      <c r="N280" s="8" t="s">
        <v>223</v>
      </c>
      <c r="O280" s="8" t="s">
        <v>1294</v>
      </c>
      <c r="P280" s="8" t="s">
        <v>606</v>
      </c>
      <c r="Q280" s="8"/>
      <c r="R280" s="8" t="s">
        <v>52</v>
      </c>
      <c r="S280" s="8" t="s">
        <v>53</v>
      </c>
      <c r="T280" s="8"/>
      <c r="U280" s="8" t="s">
        <v>69</v>
      </c>
      <c r="V280" s="8" t="s">
        <v>139</v>
      </c>
      <c r="W280" s="8" t="s">
        <v>54</v>
      </c>
      <c r="X280" s="8">
        <v>151367</v>
      </c>
      <c r="Y280" s="8" t="s">
        <v>1389</v>
      </c>
      <c r="Z280" s="8" t="s">
        <v>1267</v>
      </c>
      <c r="AA280" s="8" t="s">
        <v>474</v>
      </c>
      <c r="AB280" s="8"/>
      <c r="AC280" s="8"/>
      <c r="AD280" s="8" t="s">
        <v>856</v>
      </c>
      <c r="AE280" s="8" t="s">
        <v>175</v>
      </c>
      <c r="AF280" s="5">
        <v>46132</v>
      </c>
      <c r="AG280" s="5">
        <v>46132</v>
      </c>
      <c r="AH280" s="5"/>
      <c r="AI280" s="8"/>
      <c r="AJ280" s="8" t="s">
        <v>1390</v>
      </c>
      <c r="AK280" s="8" t="s">
        <v>611</v>
      </c>
      <c r="AL280" s="8" t="s">
        <v>207</v>
      </c>
      <c r="AM280" s="8"/>
      <c r="AN280" s="8"/>
      <c r="AO280" s="8"/>
    </row>
    <row r="281" spans="1:41">
      <c r="A281" s="7" t="s">
        <v>1391</v>
      </c>
      <c r="B281" s="5">
        <v>46098</v>
      </c>
      <c r="C281" s="17" t="str">
        <f ca="1">IF(B281="","",IF(OR(TRIM(R281)="En curso",TRIM(R281)="En proceso de ingreso"),TODAY()-B281,"Cerrada"))</f>
        <v>Cerrada</v>
      </c>
      <c r="D281" s="8" t="s">
        <v>144</v>
      </c>
      <c r="E281" s="8" t="s">
        <v>43</v>
      </c>
      <c r="F281" s="8"/>
      <c r="G281" s="8" t="s">
        <v>44</v>
      </c>
      <c r="H281" s="8" t="s">
        <v>44</v>
      </c>
      <c r="I281" s="8"/>
      <c r="J281" s="8" t="s">
        <v>145</v>
      </c>
      <c r="K281" s="8"/>
      <c r="L281" s="8" t="s">
        <v>222</v>
      </c>
      <c r="M281" s="8" t="s">
        <v>766</v>
      </c>
      <c r="N281" s="8" t="s">
        <v>223</v>
      </c>
      <c r="O281" s="8" t="s">
        <v>1294</v>
      </c>
      <c r="P281" s="8" t="s">
        <v>606</v>
      </c>
      <c r="Q281" s="8"/>
      <c r="R281" s="8" t="s">
        <v>52</v>
      </c>
      <c r="S281" s="8" t="s">
        <v>53</v>
      </c>
      <c r="T281" s="8"/>
      <c r="U281" s="8" t="s">
        <v>69</v>
      </c>
      <c r="V281" s="8" t="s">
        <v>139</v>
      </c>
      <c r="W281" s="8" t="s">
        <v>54</v>
      </c>
      <c r="X281" s="8"/>
      <c r="Y281" s="8" t="s">
        <v>1392</v>
      </c>
      <c r="Z281" s="8" t="s">
        <v>941</v>
      </c>
      <c r="AA281" s="8" t="s">
        <v>474</v>
      </c>
      <c r="AB281" s="8"/>
      <c r="AC281" s="8"/>
      <c r="AD281" s="8" t="s">
        <v>521</v>
      </c>
      <c r="AE281" s="8" t="s">
        <v>175</v>
      </c>
      <c r="AF281" s="5">
        <v>46132</v>
      </c>
      <c r="AG281" s="5">
        <v>46132</v>
      </c>
      <c r="AH281" s="5"/>
      <c r="AI281" s="8"/>
      <c r="AJ281" s="8" t="s">
        <v>692</v>
      </c>
      <c r="AK281" s="8" t="s">
        <v>611</v>
      </c>
      <c r="AL281" s="8" t="s">
        <v>207</v>
      </c>
      <c r="AM281" s="8"/>
      <c r="AN281" s="8"/>
      <c r="AO281" s="8"/>
    </row>
    <row r="282" spans="1:41" hidden="1">
      <c r="A282" s="7" t="s">
        <v>1393</v>
      </c>
      <c r="B282" s="5">
        <v>46119</v>
      </c>
      <c r="C282" s="17">
        <f ca="1">IF(B282="","",IF(OR(TRIM(R282)="En curso",TRIM(R282)="En proceso de ingreso"),TODAY()-B282,"Cerrada"))</f>
        <v>21</v>
      </c>
      <c r="D282" s="8" t="s">
        <v>104</v>
      </c>
      <c r="E282" s="8" t="s">
        <v>43</v>
      </c>
      <c r="F282" s="8"/>
      <c r="G282" s="8" t="s">
        <v>44</v>
      </c>
      <c r="H282" s="8" t="s">
        <v>44</v>
      </c>
      <c r="I282" s="8"/>
      <c r="J282" s="8" t="s">
        <v>145</v>
      </c>
      <c r="K282" s="8"/>
      <c r="L282" s="8" t="s">
        <v>1134</v>
      </c>
      <c r="M282" s="8" t="s">
        <v>1135</v>
      </c>
      <c r="N282" s="8" t="s">
        <v>213</v>
      </c>
      <c r="O282" s="8" t="s">
        <v>1344</v>
      </c>
      <c r="P282" s="8" t="s">
        <v>1137</v>
      </c>
      <c r="Q282" s="8"/>
      <c r="R282" s="8" t="s">
        <v>743</v>
      </c>
      <c r="S282" s="8" t="s">
        <v>744</v>
      </c>
      <c r="T282" s="5">
        <v>46153</v>
      </c>
      <c r="U282" s="8" t="s">
        <v>760</v>
      </c>
      <c r="V282" s="8" t="s">
        <v>472</v>
      </c>
      <c r="W282" s="8" t="s">
        <v>54</v>
      </c>
      <c r="X282" s="8"/>
      <c r="Y282" s="8" t="s">
        <v>1394</v>
      </c>
      <c r="Z282" s="8" t="s">
        <v>941</v>
      </c>
      <c r="AA282" s="8" t="s">
        <v>56</v>
      </c>
      <c r="AB282" s="8"/>
      <c r="AC282" s="8"/>
      <c r="AD282" s="8"/>
      <c r="AE282" s="8"/>
      <c r="AF282" s="8"/>
      <c r="AG282" s="8"/>
      <c r="AH282" s="5"/>
      <c r="AI282" s="8"/>
      <c r="AJ282" s="8"/>
      <c r="AK282" s="8"/>
      <c r="AL282" s="8" t="s">
        <v>116</v>
      </c>
      <c r="AM282" s="8"/>
      <c r="AN282" s="8"/>
      <c r="AO282" s="8"/>
    </row>
    <row r="283" spans="1:41" ht="28.5" hidden="1">
      <c r="A283" s="7" t="s">
        <v>1395</v>
      </c>
      <c r="B283" s="5">
        <v>46119</v>
      </c>
      <c r="C283" s="17">
        <f ca="1">IF(B283="","",IF(OR(TRIM(R283)="En curso",TRIM(R283)="En proceso de ingreso"),TODAY()-B283,"Cerrada"))</f>
        <v>21</v>
      </c>
      <c r="D283" s="8" t="s">
        <v>144</v>
      </c>
      <c r="E283" s="8" t="s">
        <v>43</v>
      </c>
      <c r="F283" s="8"/>
      <c r="G283" s="8" t="s">
        <v>44</v>
      </c>
      <c r="H283" s="8" t="s">
        <v>44</v>
      </c>
      <c r="I283" s="8"/>
      <c r="J283" s="8" t="s">
        <v>145</v>
      </c>
      <c r="K283" s="8"/>
      <c r="L283" s="8" t="s">
        <v>222</v>
      </c>
      <c r="M283" s="8" t="s">
        <v>766</v>
      </c>
      <c r="N283" s="8" t="s">
        <v>223</v>
      </c>
      <c r="O283" s="8" t="s">
        <v>1294</v>
      </c>
      <c r="P283" s="8" t="s">
        <v>606</v>
      </c>
      <c r="Q283" s="8"/>
      <c r="R283" s="8" t="s">
        <v>743</v>
      </c>
      <c r="S283" s="8" t="s">
        <v>854</v>
      </c>
      <c r="T283" s="5">
        <v>46146</v>
      </c>
      <c r="U283" s="8" t="s">
        <v>69</v>
      </c>
      <c r="V283" s="8" t="s">
        <v>139</v>
      </c>
      <c r="W283" s="8" t="s">
        <v>54</v>
      </c>
      <c r="X283" s="8"/>
      <c r="Y283" s="8" t="s">
        <v>1396</v>
      </c>
      <c r="Z283" s="8" t="s">
        <v>941</v>
      </c>
      <c r="AA283" s="8" t="s">
        <v>56</v>
      </c>
      <c r="AB283" s="8"/>
      <c r="AC283" s="8"/>
      <c r="AD283" s="8" t="s">
        <v>1397</v>
      </c>
      <c r="AE283" s="8" t="s">
        <v>175</v>
      </c>
      <c r="AF283" s="5">
        <v>46133</v>
      </c>
      <c r="AG283" s="5">
        <v>46146</v>
      </c>
      <c r="AH283" s="5" t="s">
        <v>73</v>
      </c>
      <c r="AI283" s="8"/>
      <c r="AJ283" s="8" t="s">
        <v>1398</v>
      </c>
      <c r="AK283" s="8" t="s">
        <v>858</v>
      </c>
      <c r="AL283" s="8" t="s">
        <v>207</v>
      </c>
      <c r="AM283" s="8"/>
      <c r="AN283" s="8"/>
      <c r="AO283" s="8"/>
    </row>
    <row r="284" spans="1:41">
      <c r="A284" s="7" t="s">
        <v>1399</v>
      </c>
      <c r="B284" s="5">
        <v>46125</v>
      </c>
      <c r="C284" s="17" t="str">
        <f ca="1">IF(B284="","",IF(OR(TRIM(R284)="En curso",TRIM(R284)="En proceso de ingreso"),TODAY()-B284,"Cerrada"))</f>
        <v>Cerrada</v>
      </c>
      <c r="D284" s="8" t="s">
        <v>42</v>
      </c>
      <c r="E284" s="8" t="s">
        <v>43</v>
      </c>
      <c r="F284" s="8"/>
      <c r="G284" s="8"/>
      <c r="H284" s="8"/>
      <c r="I284" s="8"/>
      <c r="J284" s="8" t="s">
        <v>180</v>
      </c>
      <c r="K284" s="8" t="s">
        <v>1182</v>
      </c>
      <c r="L284" s="8" t="s">
        <v>664</v>
      </c>
      <c r="M284" s="8" t="s">
        <v>249</v>
      </c>
      <c r="N284" s="8" t="s">
        <v>170</v>
      </c>
      <c r="O284" s="8" t="s">
        <v>660</v>
      </c>
      <c r="P284" s="8" t="s">
        <v>947</v>
      </c>
      <c r="Q284" s="8"/>
      <c r="R284" s="8" t="s">
        <v>52</v>
      </c>
      <c r="S284" s="8" t="s">
        <v>53</v>
      </c>
      <c r="T284" s="5">
        <v>46133</v>
      </c>
      <c r="U284" s="8" t="s">
        <v>69</v>
      </c>
      <c r="V284" s="8" t="s">
        <v>472</v>
      </c>
      <c r="W284" s="8" t="s">
        <v>54</v>
      </c>
      <c r="X284" s="8">
        <v>160471</v>
      </c>
      <c r="Y284" s="8" t="s">
        <v>1400</v>
      </c>
      <c r="Z284" s="8" t="s">
        <v>1267</v>
      </c>
      <c r="AA284" s="8" t="s">
        <v>474</v>
      </c>
      <c r="AB284" s="8"/>
      <c r="AC284" s="8"/>
      <c r="AD284" s="8" t="s">
        <v>1401</v>
      </c>
      <c r="AE284" s="8" t="s">
        <v>664</v>
      </c>
      <c r="AF284" s="5">
        <v>46119</v>
      </c>
      <c r="AG284" s="5">
        <v>46132</v>
      </c>
      <c r="AH284" s="5"/>
      <c r="AI284" s="8"/>
      <c r="AJ284" s="8" t="s">
        <v>1402</v>
      </c>
      <c r="AK284" s="8" t="s">
        <v>1403</v>
      </c>
      <c r="AL284" s="8" t="s">
        <v>61</v>
      </c>
      <c r="AM284" s="8"/>
      <c r="AN284" s="8"/>
      <c r="AO284" s="8"/>
    </row>
    <row r="285" spans="1:41" hidden="1">
      <c r="A285" s="7" t="s">
        <v>1404</v>
      </c>
      <c r="B285" s="5">
        <v>46122</v>
      </c>
      <c r="C285" s="17">
        <f ca="1">IF(B285="","",IF(OR(TRIM(R285)="En curso",TRIM(R285)="En proceso de ingreso"),TODAY()-B285,"Cerrada"))</f>
        <v>18</v>
      </c>
      <c r="D285" s="8" t="s">
        <v>42</v>
      </c>
      <c r="E285" s="8" t="s">
        <v>43</v>
      </c>
      <c r="F285" s="8"/>
      <c r="G285" s="8"/>
      <c r="H285" s="8"/>
      <c r="I285" s="8"/>
      <c r="J285" s="8" t="s">
        <v>145</v>
      </c>
      <c r="K285" s="8" t="s">
        <v>439</v>
      </c>
      <c r="L285" s="8" t="s">
        <v>440</v>
      </c>
      <c r="M285" s="8" t="s">
        <v>135</v>
      </c>
      <c r="N285" s="8" t="s">
        <v>409</v>
      </c>
      <c r="O285" s="8" t="s">
        <v>441</v>
      </c>
      <c r="P285" s="8" t="s">
        <v>442</v>
      </c>
      <c r="Q285" s="8"/>
      <c r="R285" s="8" t="s">
        <v>724</v>
      </c>
      <c r="S285" s="8" t="s">
        <v>958</v>
      </c>
      <c r="T285" s="5">
        <v>46153</v>
      </c>
      <c r="U285" s="8" t="s">
        <v>69</v>
      </c>
      <c r="V285" s="8" t="s">
        <v>472</v>
      </c>
      <c r="W285" s="8" t="s">
        <v>54</v>
      </c>
      <c r="X285" s="8"/>
      <c r="Y285" s="8" t="s">
        <v>1405</v>
      </c>
      <c r="Z285" s="8" t="s">
        <v>941</v>
      </c>
      <c r="AA285" s="11" t="s">
        <v>56</v>
      </c>
      <c r="AB285" s="8"/>
      <c r="AC285" s="8"/>
      <c r="AD285" s="8" t="s">
        <v>241</v>
      </c>
      <c r="AE285" s="8" t="s">
        <v>175</v>
      </c>
      <c r="AF285" s="8"/>
      <c r="AG285" s="8"/>
      <c r="AH285" s="5"/>
      <c r="AI285" s="8"/>
      <c r="AJ285" s="8"/>
      <c r="AK285" s="8"/>
      <c r="AL285" s="8"/>
      <c r="AM285" s="8"/>
      <c r="AN285" s="8"/>
      <c r="AO285" s="8"/>
    </row>
    <row r="286" spans="1:41" ht="28.5" hidden="1">
      <c r="A286" s="7" t="s">
        <v>1406</v>
      </c>
      <c r="B286" s="5">
        <v>46125</v>
      </c>
      <c r="C286" s="17">
        <f ca="1">IF(B286="","",IF(OR(TRIM(R286)="En curso",TRIM(R286)="En proceso de ingreso"),TODAY()-B286,"Cerrada"))</f>
        <v>15</v>
      </c>
      <c r="D286" s="8" t="s">
        <v>42</v>
      </c>
      <c r="E286" s="8" t="s">
        <v>43</v>
      </c>
      <c r="F286" s="8"/>
      <c r="G286" s="8" t="s">
        <v>187</v>
      </c>
      <c r="H286" s="8" t="s">
        <v>187</v>
      </c>
      <c r="I286" s="8"/>
      <c r="J286" s="8" t="s">
        <v>45</v>
      </c>
      <c r="K286" s="8" t="s">
        <v>46</v>
      </c>
      <c r="L286" s="8" t="s">
        <v>1407</v>
      </c>
      <c r="M286" s="8" t="s">
        <v>48</v>
      </c>
      <c r="N286" s="8" t="s">
        <v>49</v>
      </c>
      <c r="O286" s="8" t="s">
        <v>50</v>
      </c>
      <c r="P286" s="8" t="s">
        <v>1408</v>
      </c>
      <c r="Q286" s="8"/>
      <c r="R286" s="8" t="s">
        <v>724</v>
      </c>
      <c r="S286" s="8" t="s">
        <v>725</v>
      </c>
      <c r="T286" s="5">
        <v>46153</v>
      </c>
      <c r="U286" s="8" t="s">
        <v>760</v>
      </c>
      <c r="V286" s="8" t="s">
        <v>472</v>
      </c>
      <c r="W286" s="8" t="s">
        <v>54</v>
      </c>
      <c r="X286" s="8">
        <v>164312</v>
      </c>
      <c r="Y286" s="8" t="s">
        <v>1409</v>
      </c>
      <c r="Z286" s="8" t="s">
        <v>275</v>
      </c>
      <c r="AA286" s="11" t="s">
        <v>56</v>
      </c>
      <c r="AB286" s="8"/>
      <c r="AC286" s="8"/>
      <c r="AD286" s="8" t="s">
        <v>1410</v>
      </c>
      <c r="AE286" s="8" t="s">
        <v>1411</v>
      </c>
      <c r="AF286" s="8"/>
      <c r="AG286" s="8"/>
      <c r="AH286" s="5"/>
      <c r="AI286" s="8"/>
      <c r="AJ286" s="8"/>
      <c r="AK286" s="8"/>
      <c r="AL286" s="8"/>
      <c r="AM286" s="8"/>
      <c r="AN286" s="8"/>
      <c r="AO286" s="8"/>
    </row>
    <row r="287" spans="1:41" ht="28.5" hidden="1">
      <c r="A287" s="7" t="s">
        <v>1412</v>
      </c>
      <c r="B287" s="5">
        <v>46125</v>
      </c>
      <c r="C287" s="17">
        <f ca="1">IF(B287="","",IF(OR(TRIM(R287)="En curso",TRIM(R287)="En proceso de ingreso"),TODAY()-B287,"Cerrada"))</f>
        <v>15</v>
      </c>
      <c r="D287" s="8" t="s">
        <v>42</v>
      </c>
      <c r="E287" s="8" t="s">
        <v>43</v>
      </c>
      <c r="F287" s="8"/>
      <c r="G287" s="8" t="s">
        <v>187</v>
      </c>
      <c r="H287" s="8" t="s">
        <v>187</v>
      </c>
      <c r="I287" s="8"/>
      <c r="J287" s="8" t="s">
        <v>45</v>
      </c>
      <c r="K287" s="8" t="s">
        <v>46</v>
      </c>
      <c r="L287" s="8" t="s">
        <v>1407</v>
      </c>
      <c r="M287" s="8" t="s">
        <v>48</v>
      </c>
      <c r="N287" s="8" t="s">
        <v>49</v>
      </c>
      <c r="O287" s="8" t="s">
        <v>50</v>
      </c>
      <c r="P287" s="8" t="s">
        <v>1408</v>
      </c>
      <c r="Q287" s="8"/>
      <c r="R287" s="8" t="s">
        <v>724</v>
      </c>
      <c r="S287" s="8" t="s">
        <v>725</v>
      </c>
      <c r="T287" s="5">
        <v>46153</v>
      </c>
      <c r="U287" s="8" t="s">
        <v>760</v>
      </c>
      <c r="V287" s="8" t="s">
        <v>472</v>
      </c>
      <c r="W287" s="8" t="s">
        <v>54</v>
      </c>
      <c r="X287" s="8">
        <v>163654</v>
      </c>
      <c r="Y287" s="8" t="s">
        <v>1413</v>
      </c>
      <c r="Z287" s="8" t="s">
        <v>275</v>
      </c>
      <c r="AA287" s="11" t="s">
        <v>56</v>
      </c>
      <c r="AB287" s="8"/>
      <c r="AC287" s="8"/>
      <c r="AD287" s="8" t="s">
        <v>1410</v>
      </c>
      <c r="AE287" s="8" t="s">
        <v>1411</v>
      </c>
      <c r="AF287" s="8"/>
      <c r="AG287" s="8"/>
      <c r="AH287" s="5"/>
      <c r="AI287" s="8"/>
      <c r="AJ287" s="8"/>
      <c r="AK287" s="8"/>
      <c r="AL287" s="8"/>
      <c r="AM287" s="8"/>
      <c r="AN287" s="8"/>
      <c r="AO287" s="8"/>
    </row>
    <row r="288" spans="1:41" hidden="1">
      <c r="A288" s="7" t="s">
        <v>1414</v>
      </c>
      <c r="B288" s="5">
        <v>46118</v>
      </c>
      <c r="C288" s="17">
        <f ca="1">IF(B288="","",IF(OR(TRIM(R288)="En curso",TRIM(R288)="En proceso de ingreso"),TODAY()-B288,"Cerrada"))</f>
        <v>22</v>
      </c>
      <c r="D288" s="8" t="s">
        <v>42</v>
      </c>
      <c r="E288" s="8" t="s">
        <v>43</v>
      </c>
      <c r="F288" s="8"/>
      <c r="G288" s="8" t="s">
        <v>44</v>
      </c>
      <c r="H288" s="8" t="s">
        <v>44</v>
      </c>
      <c r="I288" s="8"/>
      <c r="J288" s="8" t="s">
        <v>45</v>
      </c>
      <c r="K288" s="8"/>
      <c r="L288" s="8" t="s">
        <v>47</v>
      </c>
      <c r="M288" s="8" t="s">
        <v>48</v>
      </c>
      <c r="N288" s="8" t="s">
        <v>49</v>
      </c>
      <c r="O288" s="8" t="s">
        <v>50</v>
      </c>
      <c r="P288" s="8" t="s">
        <v>51</v>
      </c>
      <c r="Q288" s="8"/>
      <c r="R288" s="8" t="s">
        <v>724</v>
      </c>
      <c r="S288" s="8" t="s">
        <v>1291</v>
      </c>
      <c r="T288" s="5">
        <v>46174</v>
      </c>
      <c r="U288" s="8" t="s">
        <v>69</v>
      </c>
      <c r="V288" s="8" t="s">
        <v>70</v>
      </c>
      <c r="W288" s="8" t="s">
        <v>54</v>
      </c>
      <c r="X288" s="8">
        <v>1095</v>
      </c>
      <c r="Y288" s="8" t="s">
        <v>1415</v>
      </c>
      <c r="Z288" s="8" t="s">
        <v>941</v>
      </c>
      <c r="AA288" s="11" t="s">
        <v>56</v>
      </c>
      <c r="AB288" s="8"/>
      <c r="AC288" s="8"/>
      <c r="AD288" s="8"/>
      <c r="AE288" s="8"/>
      <c r="AF288" s="8"/>
      <c r="AG288" s="8"/>
      <c r="AH288" s="5"/>
      <c r="AI288" s="8"/>
      <c r="AJ288" s="8"/>
      <c r="AK288" s="8"/>
      <c r="AL288" s="8"/>
      <c r="AM288" s="8"/>
      <c r="AN288" s="8"/>
      <c r="AO288" s="8"/>
    </row>
    <row r="289" spans="1:41" hidden="1">
      <c r="A289" s="7" t="s">
        <v>1416</v>
      </c>
      <c r="B289" s="5">
        <v>46122</v>
      </c>
      <c r="C289" s="17">
        <f ca="1">IF(B289="","",IF(OR(TRIM(R289)="En curso",TRIM(R289)="En proceso de ingreso"),TODAY()-B289,"Cerrada"))</f>
        <v>18</v>
      </c>
      <c r="D289" s="8" t="s">
        <v>42</v>
      </c>
      <c r="E289" s="8" t="s">
        <v>43</v>
      </c>
      <c r="F289" s="8"/>
      <c r="G289" s="8" t="s">
        <v>44</v>
      </c>
      <c r="H289" s="8" t="s">
        <v>44</v>
      </c>
      <c r="I289" s="8"/>
      <c r="J289" s="8" t="s">
        <v>45</v>
      </c>
      <c r="K289" s="8"/>
      <c r="L289" s="8" t="s">
        <v>47</v>
      </c>
      <c r="M289" s="8" t="s">
        <v>48</v>
      </c>
      <c r="N289" s="8" t="s">
        <v>49</v>
      </c>
      <c r="O289" s="8" t="s">
        <v>50</v>
      </c>
      <c r="P289" s="8" t="s">
        <v>51</v>
      </c>
      <c r="Q289" s="8"/>
      <c r="R289" s="8" t="s">
        <v>724</v>
      </c>
      <c r="S289" s="8" t="s">
        <v>1291</v>
      </c>
      <c r="T289" s="5">
        <v>46174</v>
      </c>
      <c r="U289" s="8" t="s">
        <v>69</v>
      </c>
      <c r="V289" s="8" t="s">
        <v>70</v>
      </c>
      <c r="W289" s="8" t="s">
        <v>54</v>
      </c>
      <c r="X289" s="8">
        <v>1097</v>
      </c>
      <c r="Y289" s="8" t="s">
        <v>1417</v>
      </c>
      <c r="Z289" s="8" t="s">
        <v>941</v>
      </c>
      <c r="AA289" s="11" t="s">
        <v>56</v>
      </c>
      <c r="AB289" s="8"/>
      <c r="AC289" s="8"/>
      <c r="AD289" s="8"/>
      <c r="AE289" s="8"/>
      <c r="AF289" s="8"/>
      <c r="AG289" s="8"/>
      <c r="AH289" s="5"/>
      <c r="AI289" s="8"/>
      <c r="AJ289" s="8"/>
      <c r="AK289" s="8"/>
      <c r="AL289" s="8"/>
      <c r="AM289" s="8"/>
      <c r="AN289" s="8"/>
      <c r="AO289" s="8"/>
    </row>
    <row r="290" spans="1:41" ht="28.5" hidden="1">
      <c r="A290" s="7" t="s">
        <v>1418</v>
      </c>
      <c r="B290" s="5">
        <v>46120</v>
      </c>
      <c r="C290" s="17">
        <f ca="1">IF(B290="","",IF(OR(TRIM(R290)="En curso",TRIM(R290)="En proceso de ingreso"),TODAY()-B290,"Cerrada"))</f>
        <v>20</v>
      </c>
      <c r="D290" s="8" t="s">
        <v>42</v>
      </c>
      <c r="E290" s="8" t="s">
        <v>43</v>
      </c>
      <c r="F290" s="8"/>
      <c r="G290" s="8" t="s">
        <v>44</v>
      </c>
      <c r="H290" s="8" t="s">
        <v>44</v>
      </c>
      <c r="I290" s="8"/>
      <c r="J290" s="8" t="s">
        <v>45</v>
      </c>
      <c r="K290" s="8"/>
      <c r="L290" s="8" t="s">
        <v>47</v>
      </c>
      <c r="M290" s="8" t="s">
        <v>48</v>
      </c>
      <c r="N290" s="8" t="s">
        <v>49</v>
      </c>
      <c r="O290" s="8" t="s">
        <v>50</v>
      </c>
      <c r="P290" s="8" t="s">
        <v>51</v>
      </c>
      <c r="Q290" s="8"/>
      <c r="R290" s="8" t="s">
        <v>724</v>
      </c>
      <c r="S290" s="8" t="s">
        <v>1291</v>
      </c>
      <c r="T290" s="5">
        <v>46174</v>
      </c>
      <c r="U290" s="8" t="s">
        <v>69</v>
      </c>
      <c r="V290" s="8" t="s">
        <v>70</v>
      </c>
      <c r="W290" s="8" t="s">
        <v>54</v>
      </c>
      <c r="X290" s="8">
        <v>170021</v>
      </c>
      <c r="Y290" s="8" t="s">
        <v>59</v>
      </c>
      <c r="Z290" s="8" t="s">
        <v>941</v>
      </c>
      <c r="AA290" s="11" t="s">
        <v>56</v>
      </c>
      <c r="AB290" s="8"/>
      <c r="AC290" s="8"/>
      <c r="AD290" s="8"/>
      <c r="AE290" s="8"/>
      <c r="AF290" s="8"/>
      <c r="AG290" s="8"/>
      <c r="AH290" s="5"/>
      <c r="AI290" s="8"/>
      <c r="AJ290" s="8"/>
      <c r="AK290" s="8"/>
      <c r="AL290" s="8"/>
      <c r="AM290" s="8"/>
      <c r="AN290" s="8"/>
      <c r="AO290" s="8"/>
    </row>
    <row r="291" spans="1:41" ht="28.5" hidden="1">
      <c r="A291" s="7" t="s">
        <v>1419</v>
      </c>
      <c r="B291" s="5">
        <v>46126</v>
      </c>
      <c r="C291" s="17">
        <f ca="1">IF(B291="","",IF(OR(TRIM(R291)="En curso",TRIM(R291)="En proceso de ingreso"),TODAY()-B291,"Cerrada"))</f>
        <v>14</v>
      </c>
      <c r="D291" s="8" t="s">
        <v>104</v>
      </c>
      <c r="E291" s="8" t="s">
        <v>43</v>
      </c>
      <c r="F291" s="8"/>
      <c r="G291" s="8" t="s">
        <v>44</v>
      </c>
      <c r="H291" s="8" t="s">
        <v>44</v>
      </c>
      <c r="I291" s="8"/>
      <c r="J291" s="8" t="s">
        <v>145</v>
      </c>
      <c r="K291" s="8"/>
      <c r="L291" s="8" t="s">
        <v>1420</v>
      </c>
      <c r="M291" s="8" t="s">
        <v>1153</v>
      </c>
      <c r="N291" s="8" t="s">
        <v>469</v>
      </c>
      <c r="O291" s="8" t="s">
        <v>1340</v>
      </c>
      <c r="P291" s="8" t="s">
        <v>1421</v>
      </c>
      <c r="Q291" s="8"/>
      <c r="R291" s="8" t="s">
        <v>724</v>
      </c>
      <c r="S291" s="8" t="s">
        <v>725</v>
      </c>
      <c r="T291" s="5">
        <v>46188</v>
      </c>
      <c r="U291" s="8" t="s">
        <v>760</v>
      </c>
      <c r="V291" s="8" t="s">
        <v>70</v>
      </c>
      <c r="W291" s="8" t="s">
        <v>54</v>
      </c>
      <c r="X291" s="8">
        <v>155031</v>
      </c>
      <c r="Y291" s="8" t="s">
        <v>1422</v>
      </c>
      <c r="Z291" s="8" t="s">
        <v>941</v>
      </c>
      <c r="AA291" s="11" t="s">
        <v>56</v>
      </c>
      <c r="AB291" s="8"/>
      <c r="AC291" s="8"/>
      <c r="AD291" s="8" t="s">
        <v>1423</v>
      </c>
      <c r="AE291" s="8"/>
      <c r="AF291" s="8"/>
      <c r="AG291" s="8"/>
      <c r="AH291" s="5"/>
      <c r="AI291" s="8"/>
      <c r="AJ291" s="8"/>
      <c r="AK291" s="8"/>
      <c r="AL291" s="8"/>
      <c r="AM291" s="8"/>
      <c r="AN291" s="8"/>
      <c r="AO291" s="8"/>
    </row>
    <row r="292" spans="1:41" hidden="1">
      <c r="A292" s="7" t="s">
        <v>1424</v>
      </c>
      <c r="B292" s="5">
        <v>46126</v>
      </c>
      <c r="C292" s="17">
        <f ca="1">IF(B292="","",IF(OR(TRIM(R292)="En curso",TRIM(R292)="En proceso de ingreso"),TODAY()-B292,"Cerrada"))</f>
        <v>14</v>
      </c>
      <c r="D292" s="8" t="s">
        <v>144</v>
      </c>
      <c r="E292" s="8" t="s">
        <v>43</v>
      </c>
      <c r="F292" s="8"/>
      <c r="G292" s="8" t="s">
        <v>44</v>
      </c>
      <c r="H292" s="8" t="s">
        <v>44</v>
      </c>
      <c r="I292" s="8"/>
      <c r="J292" s="8" t="s">
        <v>190</v>
      </c>
      <c r="K292" s="8"/>
      <c r="L292" s="8" t="s">
        <v>320</v>
      </c>
      <c r="M292" s="8"/>
      <c r="N292" s="8" t="s">
        <v>213</v>
      </c>
      <c r="O292" s="8" t="s">
        <v>1425</v>
      </c>
      <c r="P292" s="8" t="s">
        <v>1276</v>
      </c>
      <c r="Q292" s="8"/>
      <c r="R292" s="8" t="s">
        <v>724</v>
      </c>
      <c r="S292" s="8" t="s">
        <v>1426</v>
      </c>
      <c r="T292" s="5">
        <v>46160</v>
      </c>
      <c r="U292" s="8" t="s">
        <v>760</v>
      </c>
      <c r="V292" s="8" t="s">
        <v>472</v>
      </c>
      <c r="W292" s="8" t="s">
        <v>63</v>
      </c>
      <c r="X292" s="8"/>
      <c r="Y292" s="8"/>
      <c r="Z292" s="8" t="s">
        <v>1427</v>
      </c>
      <c r="AA292" s="11" t="s">
        <v>474</v>
      </c>
      <c r="AB292" s="8"/>
      <c r="AC292" s="8"/>
      <c r="AD292" s="8"/>
      <c r="AE292" s="8" t="s">
        <v>190</v>
      </c>
      <c r="AF292" s="8"/>
      <c r="AG292" s="8"/>
      <c r="AH292" s="5"/>
      <c r="AI292" s="8"/>
      <c r="AJ292" s="8"/>
      <c r="AK292" s="8"/>
      <c r="AL292" s="8"/>
      <c r="AM292" s="8"/>
      <c r="AN292" s="8"/>
      <c r="AO292" s="8"/>
    </row>
    <row r="293" spans="1:41" ht="28.5" hidden="1">
      <c r="A293" s="7" t="s">
        <v>1428</v>
      </c>
      <c r="B293" s="5">
        <v>46126</v>
      </c>
      <c r="C293" s="17">
        <f ca="1">IF(B293="","",IF(OR(TRIM(R293)="En curso",TRIM(R293)="En proceso de ingreso"),TODAY()-B293,"Cerrada"))</f>
        <v>14</v>
      </c>
      <c r="D293" s="8" t="s">
        <v>467</v>
      </c>
      <c r="E293" s="8" t="s">
        <v>43</v>
      </c>
      <c r="F293" s="8"/>
      <c r="G293" s="8" t="s">
        <v>187</v>
      </c>
      <c r="H293" s="8" t="s">
        <v>187</v>
      </c>
      <c r="I293" s="8"/>
      <c r="J293" s="8" t="s">
        <v>320</v>
      </c>
      <c r="K293" s="8" t="s">
        <v>1429</v>
      </c>
      <c r="L293" s="8" t="s">
        <v>1430</v>
      </c>
      <c r="M293" s="8" t="s">
        <v>1153</v>
      </c>
      <c r="N293" s="8" t="s">
        <v>170</v>
      </c>
      <c r="O293" s="8" t="s">
        <v>1359</v>
      </c>
      <c r="P293" s="8" t="s">
        <v>722</v>
      </c>
      <c r="Q293" s="8"/>
      <c r="R293" s="8" t="s">
        <v>724</v>
      </c>
      <c r="S293" s="8" t="s">
        <v>1291</v>
      </c>
      <c r="T293" s="5">
        <v>46160</v>
      </c>
      <c r="U293" s="8" t="s">
        <v>760</v>
      </c>
      <c r="V293" s="8" t="s">
        <v>472</v>
      </c>
      <c r="W293" s="8" t="s">
        <v>54</v>
      </c>
      <c r="X293" s="8"/>
      <c r="Y293" s="8" t="s">
        <v>6</v>
      </c>
      <c r="Z293" s="8" t="s">
        <v>275</v>
      </c>
      <c r="AA293" s="11" t="s">
        <v>474</v>
      </c>
      <c r="AB293" s="8"/>
      <c r="AC293" s="8"/>
      <c r="AD293" s="8" t="s">
        <v>1431</v>
      </c>
      <c r="AE293" s="8"/>
      <c r="AF293" s="8"/>
      <c r="AG293" s="8"/>
      <c r="AH293" s="5"/>
      <c r="AI293" s="8"/>
      <c r="AJ293" s="8"/>
      <c r="AK293" s="8"/>
      <c r="AL293" s="8"/>
      <c r="AM293" s="8"/>
      <c r="AN293" s="8"/>
      <c r="AO293" s="8"/>
    </row>
    <row r="294" spans="1:41" hidden="1">
      <c r="A294" s="7" t="s">
        <v>1432</v>
      </c>
      <c r="B294" s="5">
        <v>46129</v>
      </c>
      <c r="C294" s="17">
        <f ca="1">IF(B294="","",IF(OR(TRIM(R294)="En curso",TRIM(R294)="En proceso de ingreso"),TODAY()-B294,"Cerrada"))</f>
        <v>11</v>
      </c>
      <c r="D294" s="8" t="s">
        <v>144</v>
      </c>
      <c r="E294" s="8" t="s">
        <v>43</v>
      </c>
      <c r="F294" s="8"/>
      <c r="G294" s="8" t="s">
        <v>44</v>
      </c>
      <c r="H294" s="8" t="s">
        <v>187</v>
      </c>
      <c r="I294" s="5">
        <v>46160</v>
      </c>
      <c r="J294" s="8" t="s">
        <v>145</v>
      </c>
      <c r="K294" s="8"/>
      <c r="L294" s="8" t="s">
        <v>1220</v>
      </c>
      <c r="M294" s="8" t="s">
        <v>1221</v>
      </c>
      <c r="N294" s="8" t="s">
        <v>149</v>
      </c>
      <c r="O294" s="8" t="s">
        <v>150</v>
      </c>
      <c r="P294" s="8" t="s">
        <v>1222</v>
      </c>
      <c r="Q294" s="8"/>
      <c r="R294" s="8" t="s">
        <v>743</v>
      </c>
      <c r="S294" s="8" t="s">
        <v>854</v>
      </c>
      <c r="T294" s="5">
        <v>46146</v>
      </c>
      <c r="U294" s="8" t="s">
        <v>760</v>
      </c>
      <c r="V294" s="8" t="s">
        <v>70</v>
      </c>
      <c r="W294" s="8" t="s">
        <v>54</v>
      </c>
      <c r="X294" s="8">
        <v>164831</v>
      </c>
      <c r="Y294" s="8" t="s">
        <v>1433</v>
      </c>
      <c r="Z294" s="8" t="s">
        <v>941</v>
      </c>
      <c r="AA294" s="11" t="s">
        <v>474</v>
      </c>
      <c r="AB294" s="8"/>
      <c r="AC294" s="8"/>
      <c r="AD294" s="8" t="s">
        <v>1434</v>
      </c>
      <c r="AE294" s="8" t="s">
        <v>154</v>
      </c>
      <c r="AF294" s="5">
        <v>46127</v>
      </c>
      <c r="AG294" s="5">
        <v>46146</v>
      </c>
      <c r="AH294" s="5"/>
      <c r="AI294" s="8"/>
      <c r="AJ294" s="8" t="s">
        <v>1435</v>
      </c>
      <c r="AK294" s="8" t="s">
        <v>1436</v>
      </c>
      <c r="AL294" s="8" t="s">
        <v>157</v>
      </c>
      <c r="AM294" s="8" t="s">
        <v>44</v>
      </c>
      <c r="AN294" s="8" t="s">
        <v>44</v>
      </c>
      <c r="AO294" s="8"/>
    </row>
    <row r="295" spans="1:41" hidden="1">
      <c r="A295" s="7" t="s">
        <v>1437</v>
      </c>
      <c r="B295" s="5">
        <v>46129</v>
      </c>
      <c r="C295" s="17">
        <f ca="1">IF(B295="","",IF(OR(TRIM(R295)="En curso",TRIM(R295)="En proceso de ingreso"),TODAY()-B295,"Cerrada"))</f>
        <v>11</v>
      </c>
      <c r="D295" s="8" t="s">
        <v>144</v>
      </c>
      <c r="E295" s="8" t="s">
        <v>43</v>
      </c>
      <c r="F295" s="8"/>
      <c r="G295" s="8" t="s">
        <v>44</v>
      </c>
      <c r="H295" s="8" t="s">
        <v>44</v>
      </c>
      <c r="I295" s="8"/>
      <c r="J295" s="8" t="s">
        <v>145</v>
      </c>
      <c r="K295" s="8" t="s">
        <v>146</v>
      </c>
      <c r="L295" s="8" t="s">
        <v>222</v>
      </c>
      <c r="M295" s="8" t="s">
        <v>766</v>
      </c>
      <c r="N295" s="8" t="s">
        <v>223</v>
      </c>
      <c r="O295" s="8" t="s">
        <v>1294</v>
      </c>
      <c r="P295" s="8" t="s">
        <v>606</v>
      </c>
      <c r="Q295" s="8"/>
      <c r="R295" s="8" t="s">
        <v>743</v>
      </c>
      <c r="S295" s="8" t="s">
        <v>854</v>
      </c>
      <c r="T295" s="5">
        <v>46146</v>
      </c>
      <c r="U295" s="8" t="s">
        <v>69</v>
      </c>
      <c r="V295" s="8" t="s">
        <v>69</v>
      </c>
      <c r="W295" s="8" t="s">
        <v>54</v>
      </c>
      <c r="X295" s="8">
        <v>170953</v>
      </c>
      <c r="Y295" s="8" t="s">
        <v>1438</v>
      </c>
      <c r="Z295" s="8" t="s">
        <v>941</v>
      </c>
      <c r="AA295" s="11" t="s">
        <v>474</v>
      </c>
      <c r="AB295" s="8"/>
      <c r="AC295" s="8"/>
      <c r="AD295" s="8" t="s">
        <v>1397</v>
      </c>
      <c r="AE295" s="8" t="s">
        <v>154</v>
      </c>
      <c r="AF295" s="5">
        <v>46139</v>
      </c>
      <c r="AG295" s="5">
        <v>46146</v>
      </c>
      <c r="AH295" s="5" t="s">
        <v>609</v>
      </c>
      <c r="AI295" s="8"/>
      <c r="AJ295" s="8" t="s">
        <v>1439</v>
      </c>
      <c r="AK295" s="8" t="s">
        <v>1440</v>
      </c>
      <c r="AL295" s="8" t="s">
        <v>207</v>
      </c>
      <c r="AM295" s="8"/>
      <c r="AN295" s="8"/>
      <c r="AO295" s="8"/>
    </row>
    <row r="296" spans="1:41" hidden="1">
      <c r="A296" s="7" t="s">
        <v>1441</v>
      </c>
      <c r="B296" s="5">
        <v>46129</v>
      </c>
      <c r="C296" s="17">
        <f ca="1">IF(B296="","",IF(OR(TRIM(R296)="En curso",TRIM(R296)="En proceso de ingreso"),TODAY()-B296,"Cerrada"))</f>
        <v>11</v>
      </c>
      <c r="D296" s="8" t="s">
        <v>144</v>
      </c>
      <c r="E296" s="8" t="s">
        <v>43</v>
      </c>
      <c r="F296" s="8"/>
      <c r="G296" s="8" t="s">
        <v>44</v>
      </c>
      <c r="H296" s="8" t="s">
        <v>187</v>
      </c>
      <c r="I296" s="5">
        <v>46131</v>
      </c>
      <c r="J296" s="8" t="s">
        <v>145</v>
      </c>
      <c r="K296" s="8" t="s">
        <v>146</v>
      </c>
      <c r="L296" s="8" t="s">
        <v>222</v>
      </c>
      <c r="M296" s="8" t="s">
        <v>1221</v>
      </c>
      <c r="N296" s="8" t="s">
        <v>223</v>
      </c>
      <c r="O296" s="8" t="s">
        <v>224</v>
      </c>
      <c r="P296" s="8" t="s">
        <v>225</v>
      </c>
      <c r="Q296" s="8"/>
      <c r="R296" s="8" t="s">
        <v>724</v>
      </c>
      <c r="S296" s="8" t="s">
        <v>1291</v>
      </c>
      <c r="T296" s="5">
        <v>46174</v>
      </c>
      <c r="U296" s="8" t="s">
        <v>760</v>
      </c>
      <c r="V296" s="8" t="s">
        <v>70</v>
      </c>
      <c r="W296" s="8" t="s">
        <v>54</v>
      </c>
      <c r="X296" s="8">
        <v>136346</v>
      </c>
      <c r="Y296" s="8" t="s">
        <v>1442</v>
      </c>
      <c r="Z296" s="8" t="s">
        <v>941</v>
      </c>
      <c r="AA296" s="11" t="s">
        <v>474</v>
      </c>
      <c r="AB296" s="8"/>
      <c r="AC296" s="8"/>
      <c r="AD296" s="8" t="s">
        <v>1397</v>
      </c>
      <c r="AE296" s="8" t="s">
        <v>154</v>
      </c>
      <c r="AF296" s="8"/>
      <c r="AG296" s="8"/>
      <c r="AH296" s="5"/>
      <c r="AI296" s="8"/>
      <c r="AJ296" s="8"/>
      <c r="AK296" s="8"/>
      <c r="AL296" s="8" t="s">
        <v>207</v>
      </c>
      <c r="AM296" s="8"/>
      <c r="AN296" s="8"/>
      <c r="AO296" s="8"/>
    </row>
    <row r="297" spans="1:41">
      <c r="A297" s="7" t="s">
        <v>1443</v>
      </c>
      <c r="B297" s="5">
        <v>46128</v>
      </c>
      <c r="C297" s="17" t="str">
        <f ca="1">IF(B297="","",IF(OR(TRIM(R297)="En curso",TRIM(R297)="En proceso de ingreso"),TODAY()-B297,"Cerrada"))</f>
        <v>Cerrada</v>
      </c>
      <c r="D297" s="8" t="s">
        <v>144</v>
      </c>
      <c r="E297" s="8" t="s">
        <v>43</v>
      </c>
      <c r="F297" s="8"/>
      <c r="G297" s="8" t="s">
        <v>44</v>
      </c>
      <c r="H297" s="8" t="s">
        <v>44</v>
      </c>
      <c r="I297" s="8"/>
      <c r="J297" s="8" t="s">
        <v>145</v>
      </c>
      <c r="K297" s="8"/>
      <c r="L297" s="8" t="s">
        <v>222</v>
      </c>
      <c r="M297" s="8" t="s">
        <v>766</v>
      </c>
      <c r="N297" s="8" t="s">
        <v>223</v>
      </c>
      <c r="O297" s="8" t="s">
        <v>1294</v>
      </c>
      <c r="P297" s="8" t="s">
        <v>225</v>
      </c>
      <c r="Q297" s="8"/>
      <c r="R297" s="8" t="s">
        <v>52</v>
      </c>
      <c r="S297" s="8" t="s">
        <v>53</v>
      </c>
      <c r="T297" s="8"/>
      <c r="U297" s="8" t="s">
        <v>69</v>
      </c>
      <c r="V297" s="8" t="s">
        <v>69</v>
      </c>
      <c r="W297" s="8" t="s">
        <v>54</v>
      </c>
      <c r="X297" s="8">
        <v>148961</v>
      </c>
      <c r="Y297" s="8" t="s">
        <v>1444</v>
      </c>
      <c r="Z297" s="8" t="s">
        <v>941</v>
      </c>
      <c r="AA297" s="11" t="s">
        <v>474</v>
      </c>
      <c r="AB297" s="8"/>
      <c r="AC297" s="8"/>
      <c r="AD297" s="8" t="s">
        <v>856</v>
      </c>
      <c r="AE297" s="8" t="s">
        <v>154</v>
      </c>
      <c r="AF297" s="5">
        <v>46139</v>
      </c>
      <c r="AG297" s="5">
        <v>46139</v>
      </c>
      <c r="AH297" s="5"/>
      <c r="AI297" s="8"/>
      <c r="AJ297" s="8" t="s">
        <v>1445</v>
      </c>
      <c r="AK297" s="8" t="s">
        <v>611</v>
      </c>
      <c r="AL297" s="8" t="s">
        <v>207</v>
      </c>
      <c r="AM297" s="8"/>
      <c r="AN297" s="8"/>
      <c r="AO297" s="8"/>
    </row>
    <row r="298" spans="1:41" ht="28.5" hidden="1">
      <c r="A298" s="7" t="s">
        <v>1446</v>
      </c>
      <c r="B298" s="5">
        <v>46129</v>
      </c>
      <c r="C298" s="17">
        <f ca="1">IF(B298="","",IF(OR(TRIM(R298)="En curso",TRIM(R298)="En proceso de ingreso"),TODAY()-B298,"Cerrada"))</f>
        <v>11</v>
      </c>
      <c r="D298" s="8" t="s">
        <v>144</v>
      </c>
      <c r="E298" s="8" t="s">
        <v>43</v>
      </c>
      <c r="F298" s="8"/>
      <c r="G298" s="8"/>
      <c r="H298" s="8"/>
      <c r="I298" s="8"/>
      <c r="J298" s="8" t="s">
        <v>145</v>
      </c>
      <c r="K298" s="8" t="s">
        <v>1447</v>
      </c>
      <c r="L298" s="8" t="s">
        <v>1343</v>
      </c>
      <c r="M298" s="8" t="s">
        <v>248</v>
      </c>
      <c r="N298" s="8" t="s">
        <v>213</v>
      </c>
      <c r="O298" s="8" t="s">
        <v>989</v>
      </c>
      <c r="P298" s="8" t="s">
        <v>1448</v>
      </c>
      <c r="Q298" s="8"/>
      <c r="R298" s="8" t="s">
        <v>724</v>
      </c>
      <c r="S298" s="8" t="s">
        <v>1291</v>
      </c>
      <c r="T298" s="5">
        <v>46160</v>
      </c>
      <c r="U298" s="8" t="s">
        <v>760</v>
      </c>
      <c r="V298" s="8" t="s">
        <v>472</v>
      </c>
      <c r="W298" s="8" t="s">
        <v>54</v>
      </c>
      <c r="X298" s="8">
        <v>5</v>
      </c>
      <c r="Y298" s="8" t="s">
        <v>1449</v>
      </c>
      <c r="Z298" s="8" t="s">
        <v>941</v>
      </c>
      <c r="AA298" s="11" t="s">
        <v>474</v>
      </c>
      <c r="AB298" s="8"/>
      <c r="AC298" s="8"/>
      <c r="AD298" s="8" t="s">
        <v>1450</v>
      </c>
      <c r="AE298" s="8" t="s">
        <v>154</v>
      </c>
      <c r="AF298" s="8"/>
      <c r="AG298" s="8"/>
      <c r="AH298" s="5"/>
      <c r="AI298" s="8"/>
      <c r="AJ298" s="8"/>
      <c r="AK298" s="8"/>
      <c r="AL298" s="8">
        <v>108</v>
      </c>
      <c r="AM298" s="8"/>
      <c r="AN298" s="8"/>
      <c r="AO298" s="8"/>
    </row>
    <row r="299" spans="1:41" ht="159" hidden="1">
      <c r="A299" s="7" t="s">
        <v>1451</v>
      </c>
      <c r="B299" s="5">
        <v>46128</v>
      </c>
      <c r="C299" s="17">
        <f ca="1">IF(B299="","",IF(OR(TRIM(R299)="En curso",TRIM(R299)="En proceso de ingreso"),TODAY()-B299,"Cerrada"))</f>
        <v>12</v>
      </c>
      <c r="D299" s="8" t="s">
        <v>42</v>
      </c>
      <c r="E299" s="8" t="s">
        <v>43</v>
      </c>
      <c r="F299" s="8"/>
      <c r="G299" s="8" t="s">
        <v>187</v>
      </c>
      <c r="H299" s="8" t="s">
        <v>187</v>
      </c>
      <c r="I299" s="8"/>
      <c r="J299" s="8" t="s">
        <v>320</v>
      </c>
      <c r="K299" s="8" t="s">
        <v>1429</v>
      </c>
      <c r="L299" s="8" t="s">
        <v>320</v>
      </c>
      <c r="M299" s="8" t="s">
        <v>1452</v>
      </c>
      <c r="N299" s="8" t="s">
        <v>170</v>
      </c>
      <c r="O299" s="8" t="s">
        <v>1453</v>
      </c>
      <c r="P299" s="8" t="s">
        <v>914</v>
      </c>
      <c r="Q299" s="8"/>
      <c r="R299" s="8" t="s">
        <v>724</v>
      </c>
      <c r="S299" s="8" t="s">
        <v>1341</v>
      </c>
      <c r="T299" s="5">
        <v>46153</v>
      </c>
      <c r="U299" s="8" t="s">
        <v>69</v>
      </c>
      <c r="V299" s="8" t="s">
        <v>472</v>
      </c>
      <c r="W299" s="8" t="s">
        <v>54</v>
      </c>
      <c r="X299" s="8">
        <v>148312</v>
      </c>
      <c r="Y299" s="8" t="s">
        <v>1454</v>
      </c>
      <c r="Z299" s="8" t="s">
        <v>1455</v>
      </c>
      <c r="AA299" s="11" t="s">
        <v>474</v>
      </c>
      <c r="AB299" s="8" t="s">
        <v>1456</v>
      </c>
      <c r="AC299" s="8" t="s">
        <v>1457</v>
      </c>
      <c r="AD299" s="8" t="s">
        <v>1458</v>
      </c>
      <c r="AE299" s="8" t="s">
        <v>1459</v>
      </c>
      <c r="AF299" s="8"/>
      <c r="AG299" s="8"/>
      <c r="AH299" s="5"/>
      <c r="AI299" s="8"/>
      <c r="AJ299" s="8"/>
      <c r="AK299" s="8"/>
      <c r="AL299" s="8">
        <v>414</v>
      </c>
      <c r="AM299" s="8"/>
      <c r="AN299" s="8"/>
      <c r="AO299" s="8"/>
    </row>
    <row r="300" spans="1:41" ht="28.5" hidden="1">
      <c r="A300" s="7" t="s">
        <v>1460</v>
      </c>
      <c r="B300" s="5">
        <v>46129</v>
      </c>
      <c r="C300" s="17">
        <f ca="1">IF(B300="","",IF(OR(TRIM(R300)="En curso",TRIM(R300)="En proceso de ingreso"),TODAY()-B300,"Cerrada"))</f>
        <v>11</v>
      </c>
      <c r="D300" s="8" t="s">
        <v>104</v>
      </c>
      <c r="E300" s="8" t="s">
        <v>43</v>
      </c>
      <c r="F300" s="8" t="s">
        <v>44</v>
      </c>
      <c r="G300" s="8" t="s">
        <v>187</v>
      </c>
      <c r="H300" s="8" t="s">
        <v>187</v>
      </c>
      <c r="I300" s="8"/>
      <c r="J300" s="8" t="s">
        <v>145</v>
      </c>
      <c r="K300" s="8" t="s">
        <v>1133</v>
      </c>
      <c r="L300" s="8" t="s">
        <v>48</v>
      </c>
      <c r="M300" s="8" t="s">
        <v>1153</v>
      </c>
      <c r="N300" s="8" t="s">
        <v>108</v>
      </c>
      <c r="O300" s="8" t="s">
        <v>1461</v>
      </c>
      <c r="P300" s="8" t="s">
        <v>978</v>
      </c>
      <c r="Q300" s="8"/>
      <c r="R300" s="8" t="s">
        <v>724</v>
      </c>
      <c r="S300" s="8" t="s">
        <v>1341</v>
      </c>
      <c r="T300" s="5">
        <v>46188</v>
      </c>
      <c r="U300" s="8" t="s">
        <v>760</v>
      </c>
      <c r="V300" s="8" t="s">
        <v>472</v>
      </c>
      <c r="W300" s="8" t="s">
        <v>54</v>
      </c>
      <c r="X300" s="8"/>
      <c r="Y300" s="8"/>
      <c r="Z300" s="8" t="s">
        <v>1455</v>
      </c>
      <c r="AA300" s="11" t="s">
        <v>474</v>
      </c>
      <c r="AB300" s="8"/>
      <c r="AC300" s="8"/>
      <c r="AD300" s="8"/>
      <c r="AE300" s="8"/>
      <c r="AF300" s="8"/>
      <c r="AG300" s="8"/>
      <c r="AH300" s="5"/>
      <c r="AI300" s="8"/>
      <c r="AJ300" s="8"/>
      <c r="AK300" s="8"/>
      <c r="AL300" s="8" t="s">
        <v>116</v>
      </c>
      <c r="AM300" s="8"/>
      <c r="AN300" s="8"/>
      <c r="AO300" s="8"/>
    </row>
    <row r="301" spans="1:41" hidden="1">
      <c r="A301" s="7" t="s">
        <v>1462</v>
      </c>
      <c r="B301" s="5">
        <v>46129</v>
      </c>
      <c r="C301" s="17" t="str">
        <f ca="1">IF(B301="","",IF(OR(TRIM(R301)="En curso",TRIM(R301)="En proceso de ingreso"),TODAY()-B301,"Cerrada"))</f>
        <v>Cerrada</v>
      </c>
      <c r="D301" s="8" t="s">
        <v>144</v>
      </c>
      <c r="E301" s="8" t="s">
        <v>132</v>
      </c>
      <c r="F301" s="8" t="s">
        <v>44</v>
      </c>
      <c r="G301" s="8" t="s">
        <v>187</v>
      </c>
      <c r="H301" s="8" t="s">
        <v>187</v>
      </c>
      <c r="I301" s="8"/>
      <c r="J301" s="8" t="s">
        <v>190</v>
      </c>
      <c r="K301" s="8" t="s">
        <v>1463</v>
      </c>
      <c r="L301" s="8" t="s">
        <v>1464</v>
      </c>
      <c r="M301" s="8" t="s">
        <v>1465</v>
      </c>
      <c r="N301" s="8" t="s">
        <v>108</v>
      </c>
      <c r="O301" s="8" t="s">
        <v>1461</v>
      </c>
      <c r="P301" s="8" t="s">
        <v>1276</v>
      </c>
      <c r="Q301" s="8"/>
      <c r="R301" s="8" t="s">
        <v>754</v>
      </c>
      <c r="S301" s="8" t="s">
        <v>754</v>
      </c>
      <c r="T301" s="8"/>
      <c r="U301" s="8"/>
      <c r="V301" s="8"/>
      <c r="W301" s="8" t="s">
        <v>54</v>
      </c>
      <c r="X301" s="8"/>
      <c r="Y301" s="8"/>
      <c r="Z301" s="8" t="s">
        <v>1455</v>
      </c>
      <c r="AA301" s="11" t="s">
        <v>474</v>
      </c>
      <c r="AB301" s="8"/>
      <c r="AC301" s="8"/>
      <c r="AD301" s="8"/>
      <c r="AE301" s="8"/>
      <c r="AF301" s="8"/>
      <c r="AG301" s="8"/>
      <c r="AH301" s="5"/>
      <c r="AI301" s="8"/>
      <c r="AJ301" s="8"/>
      <c r="AK301" s="8"/>
      <c r="AL301" s="8" t="s">
        <v>116</v>
      </c>
      <c r="AM301" s="8"/>
      <c r="AN301" s="8"/>
      <c r="AO301" s="8"/>
    </row>
    <row r="302" spans="1:41" hidden="1">
      <c r="A302" s="7" t="s">
        <v>1466</v>
      </c>
      <c r="B302" s="5">
        <v>46129</v>
      </c>
      <c r="C302" s="17">
        <f ca="1">IF(B302="","",IF(OR(TRIM(R302)="En curso",TRIM(R302)="En proceso de ingreso"),TODAY()-B302,"Cerrada"))</f>
        <v>11</v>
      </c>
      <c r="D302" s="8" t="s">
        <v>144</v>
      </c>
      <c r="E302" s="8" t="s">
        <v>43</v>
      </c>
      <c r="F302" s="8" t="s">
        <v>44</v>
      </c>
      <c r="G302" s="8" t="s">
        <v>44</v>
      </c>
      <c r="H302" s="8" t="s">
        <v>44</v>
      </c>
      <c r="I302" s="8"/>
      <c r="J302" s="8" t="s">
        <v>145</v>
      </c>
      <c r="K302" s="8" t="s">
        <v>1133</v>
      </c>
      <c r="L302" s="8" t="s">
        <v>1207</v>
      </c>
      <c r="M302" s="8" t="s">
        <v>766</v>
      </c>
      <c r="N302" s="8" t="s">
        <v>200</v>
      </c>
      <c r="O302" s="8" t="s">
        <v>201</v>
      </c>
      <c r="P302" s="8" t="s">
        <v>1467</v>
      </c>
      <c r="Q302" s="8"/>
      <c r="R302" s="8" t="s">
        <v>724</v>
      </c>
      <c r="S302" s="8" t="s">
        <v>725</v>
      </c>
      <c r="T302" s="5">
        <v>46174</v>
      </c>
      <c r="U302" s="8" t="s">
        <v>69</v>
      </c>
      <c r="V302" s="8" t="s">
        <v>139</v>
      </c>
      <c r="W302" s="8" t="s">
        <v>54</v>
      </c>
      <c r="X302" s="8">
        <v>110995</v>
      </c>
      <c r="Y302" s="8" t="s">
        <v>1468</v>
      </c>
      <c r="Z302" s="8" t="s">
        <v>965</v>
      </c>
      <c r="AA302" s="11" t="s">
        <v>152</v>
      </c>
      <c r="AB302" s="8" t="s">
        <v>1469</v>
      </c>
      <c r="AC302" s="8"/>
      <c r="AD302" s="8" t="s">
        <v>1366</v>
      </c>
      <c r="AE302" s="8" t="s">
        <v>175</v>
      </c>
      <c r="AF302" s="8"/>
      <c r="AG302" s="8"/>
      <c r="AH302" s="5"/>
      <c r="AI302" s="8"/>
      <c r="AJ302" s="8"/>
      <c r="AK302" s="8"/>
      <c r="AL302" s="8" t="s">
        <v>207</v>
      </c>
      <c r="AM302" s="8"/>
      <c r="AN302" s="8"/>
      <c r="AO302" s="8"/>
    </row>
    <row r="303" spans="1:41" ht="375.75" hidden="1">
      <c r="A303" s="7" t="s">
        <v>1470</v>
      </c>
      <c r="B303" s="5">
        <v>46122</v>
      </c>
      <c r="C303" s="17">
        <f ca="1">IF(B303="","",IF(OR(TRIM(R303)="En curso",TRIM(R303)="En proceso de ingreso"),TODAY()-B303,"Cerrada"))</f>
        <v>18</v>
      </c>
      <c r="D303" s="8" t="s">
        <v>42</v>
      </c>
      <c r="E303" s="8" t="s">
        <v>43</v>
      </c>
      <c r="F303" s="8" t="s">
        <v>44</v>
      </c>
      <c r="G303" s="8"/>
      <c r="H303" s="8"/>
      <c r="I303" s="8"/>
      <c r="J303" s="8" t="s">
        <v>1471</v>
      </c>
      <c r="K303" s="8"/>
      <c r="L303" s="8"/>
      <c r="M303" s="8"/>
      <c r="N303" s="8" t="s">
        <v>200</v>
      </c>
      <c r="O303" s="8" t="s">
        <v>410</v>
      </c>
      <c r="P303" s="8" t="s">
        <v>1472</v>
      </c>
      <c r="Q303" s="8"/>
      <c r="R303" s="8" t="s">
        <v>724</v>
      </c>
      <c r="S303" s="8" t="s">
        <v>725</v>
      </c>
      <c r="T303" s="5">
        <v>46153</v>
      </c>
      <c r="U303" s="8" t="s">
        <v>69</v>
      </c>
      <c r="V303" s="8" t="s">
        <v>472</v>
      </c>
      <c r="W303" s="8" t="s">
        <v>63</v>
      </c>
      <c r="X303" s="8"/>
      <c r="Y303" s="8"/>
      <c r="Z303" s="8" t="s">
        <v>1473</v>
      </c>
      <c r="AA303" s="11" t="s">
        <v>474</v>
      </c>
      <c r="AB303" s="8" t="s">
        <v>1474</v>
      </c>
      <c r="AC303" s="8" t="s">
        <v>1475</v>
      </c>
      <c r="AD303" s="8" t="s">
        <v>1476</v>
      </c>
      <c r="AE303" s="8" t="s">
        <v>1477</v>
      </c>
      <c r="AF303" s="8"/>
      <c r="AG303" s="8"/>
      <c r="AH303" s="5"/>
      <c r="AI303" s="8"/>
      <c r="AJ303" s="8"/>
      <c r="AK303" s="8"/>
      <c r="AL303" s="8"/>
      <c r="AM303" s="8"/>
      <c r="AN303" s="8"/>
      <c r="AO303" s="8" t="s">
        <v>1478</v>
      </c>
    </row>
    <row r="304" spans="1:41" ht="187.5" hidden="1">
      <c r="A304" s="7" t="s">
        <v>1479</v>
      </c>
      <c r="B304" s="5">
        <v>46132</v>
      </c>
      <c r="C304" s="17">
        <f ca="1">IF(B304="","",IF(OR(TRIM(R304)="En curso",TRIM(R304)="En proceso de ingreso"),TODAY()-B304,"Cerrada"))</f>
        <v>8</v>
      </c>
      <c r="D304" s="8" t="s">
        <v>42</v>
      </c>
      <c r="E304" s="8" t="s">
        <v>1480</v>
      </c>
      <c r="F304" s="8"/>
      <c r="G304" s="8"/>
      <c r="H304" s="8"/>
      <c r="I304" s="8"/>
      <c r="J304" s="8" t="s">
        <v>145</v>
      </c>
      <c r="K304" s="8" t="s">
        <v>1133</v>
      </c>
      <c r="L304" s="8" t="s">
        <v>48</v>
      </c>
      <c r="M304" s="8" t="s">
        <v>161</v>
      </c>
      <c r="N304" s="8" t="s">
        <v>170</v>
      </c>
      <c r="O304" s="8" t="s">
        <v>977</v>
      </c>
      <c r="P304" s="8" t="s">
        <v>978</v>
      </c>
      <c r="Q304" s="8"/>
      <c r="R304" s="8" t="s">
        <v>724</v>
      </c>
      <c r="S304" s="8" t="s">
        <v>1341</v>
      </c>
      <c r="T304" s="5">
        <v>46160</v>
      </c>
      <c r="U304" s="8" t="s">
        <v>760</v>
      </c>
      <c r="V304" s="8" t="s">
        <v>472</v>
      </c>
      <c r="W304" s="8" t="s">
        <v>54</v>
      </c>
      <c r="X304" s="8" t="s">
        <v>1481</v>
      </c>
      <c r="Y304" s="8" t="s">
        <v>1482</v>
      </c>
      <c r="Z304" s="8" t="s">
        <v>941</v>
      </c>
      <c r="AA304" s="11" t="s">
        <v>474</v>
      </c>
      <c r="AB304" s="8" t="s">
        <v>1483</v>
      </c>
      <c r="AC304" s="8" t="s">
        <v>1484</v>
      </c>
      <c r="AD304" s="8" t="s">
        <v>140</v>
      </c>
      <c r="AE304" s="8" t="s">
        <v>113</v>
      </c>
      <c r="AF304" s="8"/>
      <c r="AG304" s="8"/>
      <c r="AH304" s="5"/>
      <c r="AI304" s="8"/>
      <c r="AJ304" s="8"/>
      <c r="AK304" s="8"/>
      <c r="AL304" s="8"/>
      <c r="AM304" s="8"/>
      <c r="AN304" s="8"/>
      <c r="AO304" s="8"/>
    </row>
    <row r="305" spans="1:41" hidden="1">
      <c r="A305" s="7" t="s">
        <v>1485</v>
      </c>
      <c r="B305" s="5">
        <v>46128</v>
      </c>
      <c r="C305" s="17">
        <f ca="1">IF(B305="","",IF(OR(TRIM(R305)="En curso",TRIM(R305)="En proceso de ingreso"),TODAY()-B305,"Cerrada"))</f>
        <v>12</v>
      </c>
      <c r="D305" s="8" t="s">
        <v>144</v>
      </c>
      <c r="E305" s="8" t="s">
        <v>43</v>
      </c>
      <c r="F305" s="8"/>
      <c r="G305" s="8" t="s">
        <v>44</v>
      </c>
      <c r="H305" s="8" t="s">
        <v>44</v>
      </c>
      <c r="I305" s="8"/>
      <c r="J305" s="8" t="s">
        <v>145</v>
      </c>
      <c r="K305" s="8" t="s">
        <v>1133</v>
      </c>
      <c r="L305" s="8" t="s">
        <v>1486</v>
      </c>
      <c r="M305" s="8" t="s">
        <v>1487</v>
      </c>
      <c r="N305" s="8" t="s">
        <v>149</v>
      </c>
      <c r="O305" s="8" t="s">
        <v>150</v>
      </c>
      <c r="P305" s="8" t="s">
        <v>1488</v>
      </c>
      <c r="Q305" s="8"/>
      <c r="R305" s="8" t="s">
        <v>724</v>
      </c>
      <c r="S305" s="8" t="s">
        <v>725</v>
      </c>
      <c r="T305" s="5">
        <v>46160</v>
      </c>
      <c r="U305" s="8" t="s">
        <v>760</v>
      </c>
      <c r="V305" s="8" t="s">
        <v>70</v>
      </c>
      <c r="W305" s="8" t="s">
        <v>54</v>
      </c>
      <c r="X305" s="8">
        <v>165704</v>
      </c>
      <c r="Y305" s="8" t="s">
        <v>1489</v>
      </c>
      <c r="Z305" s="8" t="s">
        <v>941</v>
      </c>
      <c r="AA305" s="11" t="s">
        <v>474</v>
      </c>
      <c r="AB305" s="8"/>
      <c r="AC305" s="8"/>
      <c r="AD305" s="8" t="s">
        <v>1490</v>
      </c>
      <c r="AE305" s="8" t="s">
        <v>154</v>
      </c>
      <c r="AF305" s="8"/>
      <c r="AG305" s="8"/>
      <c r="AH305" s="5"/>
      <c r="AI305" s="8"/>
      <c r="AJ305" s="8"/>
      <c r="AK305" s="8"/>
      <c r="AL305" s="8" t="s">
        <v>157</v>
      </c>
      <c r="AM305" s="8"/>
      <c r="AN305" s="8"/>
      <c r="AO305" s="8"/>
    </row>
    <row r="306" spans="1:41" hidden="1">
      <c r="A306" s="7" t="s">
        <v>1491</v>
      </c>
      <c r="B306" s="5">
        <v>46128</v>
      </c>
      <c r="C306" s="17">
        <f ca="1">IF(B306="","",IF(OR(TRIM(R306)="En curso",TRIM(R306)="En proceso de ingreso"),TODAY()-B306,"Cerrada"))</f>
        <v>12</v>
      </c>
      <c r="D306" s="8" t="s">
        <v>144</v>
      </c>
      <c r="E306" s="8" t="s">
        <v>43</v>
      </c>
      <c r="F306" s="8"/>
      <c r="G306" s="8" t="s">
        <v>44</v>
      </c>
      <c r="H306" s="8" t="s">
        <v>44</v>
      </c>
      <c r="I306" s="8"/>
      <c r="J306" s="8" t="s">
        <v>145</v>
      </c>
      <c r="K306" s="8" t="s">
        <v>1133</v>
      </c>
      <c r="L306" s="8" t="s">
        <v>1207</v>
      </c>
      <c r="M306" s="8" t="s">
        <v>766</v>
      </c>
      <c r="N306" s="8" t="s">
        <v>200</v>
      </c>
      <c r="O306" s="8" t="s">
        <v>201</v>
      </c>
      <c r="P306" s="8" t="s">
        <v>1467</v>
      </c>
      <c r="Q306" s="8"/>
      <c r="R306" s="8" t="s">
        <v>743</v>
      </c>
      <c r="S306" s="8" t="s">
        <v>744</v>
      </c>
      <c r="T306" s="5">
        <v>46160</v>
      </c>
      <c r="U306" s="8" t="s">
        <v>69</v>
      </c>
      <c r="V306" s="8" t="s">
        <v>472</v>
      </c>
      <c r="W306" s="8" t="s">
        <v>54</v>
      </c>
      <c r="X306" s="8">
        <v>147723</v>
      </c>
      <c r="Y306" s="8" t="s">
        <v>1492</v>
      </c>
      <c r="Z306" s="8" t="s">
        <v>941</v>
      </c>
      <c r="AA306" s="11" t="s">
        <v>474</v>
      </c>
      <c r="AB306" s="8"/>
      <c r="AC306" s="8"/>
      <c r="AD306" s="8" t="s">
        <v>521</v>
      </c>
      <c r="AE306" s="8" t="s">
        <v>154</v>
      </c>
      <c r="AF306" s="8"/>
      <c r="AG306" s="8"/>
      <c r="AH306" s="5"/>
      <c r="AI306" s="8"/>
      <c r="AJ306" s="8"/>
      <c r="AK306" s="8"/>
      <c r="AL306" s="8" t="s">
        <v>207</v>
      </c>
      <c r="AM306" s="8"/>
      <c r="AN306" s="8"/>
      <c r="AO306" s="8"/>
    </row>
    <row r="307" spans="1:41" ht="28.5" hidden="1">
      <c r="A307" s="7" t="s">
        <v>1493</v>
      </c>
      <c r="B307" s="5">
        <v>46127</v>
      </c>
      <c r="C307" s="17">
        <f ca="1">IF(B307="","",IF(OR(TRIM(R307)="En curso",TRIM(R307)="En proceso de ingreso"),TODAY()-B307,"Cerrada"))</f>
        <v>13</v>
      </c>
      <c r="D307" s="8" t="s">
        <v>144</v>
      </c>
      <c r="E307" s="8" t="s">
        <v>43</v>
      </c>
      <c r="F307" s="8"/>
      <c r="G307" s="8" t="s">
        <v>44</v>
      </c>
      <c r="H307" s="8" t="s">
        <v>44</v>
      </c>
      <c r="I307" s="8"/>
      <c r="J307" s="8" t="s">
        <v>145</v>
      </c>
      <c r="K307" s="8" t="s">
        <v>1133</v>
      </c>
      <c r="L307" s="8" t="s">
        <v>1494</v>
      </c>
      <c r="M307" s="8" t="s">
        <v>909</v>
      </c>
      <c r="N307" s="8" t="s">
        <v>200</v>
      </c>
      <c r="O307" s="8" t="s">
        <v>303</v>
      </c>
      <c r="P307" s="8" t="s">
        <v>1495</v>
      </c>
      <c r="Q307" s="8"/>
      <c r="R307" s="8" t="s">
        <v>724</v>
      </c>
      <c r="S307" s="8" t="s">
        <v>725</v>
      </c>
      <c r="T307" s="5">
        <v>46160</v>
      </c>
      <c r="U307" s="8" t="s">
        <v>69</v>
      </c>
      <c r="V307" s="8" t="s">
        <v>70</v>
      </c>
      <c r="W307" s="8" t="s">
        <v>54</v>
      </c>
      <c r="X307" s="8">
        <v>82424</v>
      </c>
      <c r="Y307" s="8" t="s">
        <v>1496</v>
      </c>
      <c r="Z307" s="8" t="s">
        <v>275</v>
      </c>
      <c r="AA307" s="11" t="s">
        <v>474</v>
      </c>
      <c r="AB307" s="8"/>
      <c r="AC307" s="8"/>
      <c r="AD307" s="8"/>
      <c r="AE307" s="8" t="s">
        <v>154</v>
      </c>
      <c r="AF307" s="8"/>
      <c r="AG307" s="8"/>
      <c r="AH307" s="5"/>
      <c r="AI307" s="8"/>
      <c r="AJ307" s="8"/>
      <c r="AK307" s="8"/>
      <c r="AL307" s="8" t="s">
        <v>207</v>
      </c>
      <c r="AM307" s="8"/>
      <c r="AN307" s="8"/>
      <c r="AO307" s="8"/>
    </row>
    <row r="308" spans="1:41">
      <c r="A308" s="7" t="s">
        <v>1497</v>
      </c>
      <c r="B308" s="5">
        <v>46113</v>
      </c>
      <c r="C308" s="17" t="str">
        <f ca="1">IF(B308="","",IF(OR(TRIM(R308)="En curso",TRIM(R308)="En proceso de ingreso"),TODAY()-B308,"Cerrada"))</f>
        <v>Cerrada</v>
      </c>
      <c r="D308" s="8" t="s">
        <v>144</v>
      </c>
      <c r="E308" s="8" t="s">
        <v>43</v>
      </c>
      <c r="F308" s="8"/>
      <c r="G308" s="8" t="s">
        <v>44</v>
      </c>
      <c r="H308" s="8" t="s">
        <v>187</v>
      </c>
      <c r="I308" s="5">
        <v>46146</v>
      </c>
      <c r="J308" s="8" t="s">
        <v>145</v>
      </c>
      <c r="K308" s="8" t="s">
        <v>1133</v>
      </c>
      <c r="L308" s="8" t="s">
        <v>1140</v>
      </c>
      <c r="M308" s="8" t="s">
        <v>1498</v>
      </c>
      <c r="N308" s="8" t="s">
        <v>213</v>
      </c>
      <c r="O308" s="8" t="s">
        <v>349</v>
      </c>
      <c r="P308" s="8" t="s">
        <v>350</v>
      </c>
      <c r="Q308" s="8"/>
      <c r="R308" s="8" t="s">
        <v>52</v>
      </c>
      <c r="S308" s="8" t="s">
        <v>53</v>
      </c>
      <c r="T308" s="5">
        <v>46139</v>
      </c>
      <c r="U308" s="8"/>
      <c r="V308" s="8"/>
      <c r="W308" s="8" t="s">
        <v>54</v>
      </c>
      <c r="X308" s="8">
        <v>167656</v>
      </c>
      <c r="Y308" s="8" t="s">
        <v>1499</v>
      </c>
      <c r="Z308" s="8" t="s">
        <v>275</v>
      </c>
      <c r="AA308" s="11" t="s">
        <v>474</v>
      </c>
      <c r="AB308" s="8"/>
      <c r="AC308" s="8"/>
      <c r="AD308" s="8" t="s">
        <v>1500</v>
      </c>
      <c r="AE308" s="8" t="s">
        <v>154</v>
      </c>
      <c r="AF308" s="5">
        <v>46134</v>
      </c>
      <c r="AG308" s="8"/>
      <c r="AH308" s="5"/>
      <c r="AI308" s="8"/>
      <c r="AJ308" s="8" t="s">
        <v>1501</v>
      </c>
      <c r="AK308" s="8" t="s">
        <v>611</v>
      </c>
      <c r="AL308" s="8" t="s">
        <v>207</v>
      </c>
      <c r="AM308" s="8"/>
      <c r="AN308" s="8"/>
      <c r="AO308" s="8"/>
    </row>
    <row r="309" spans="1:41">
      <c r="A309" s="7" t="s">
        <v>1502</v>
      </c>
      <c r="B309" s="5">
        <v>46113</v>
      </c>
      <c r="C309" s="17" t="str">
        <f ca="1">IF(B309="","",IF(OR(TRIM(R309)="En curso",TRIM(R309)="En proceso de ingreso"),TODAY()-B309,"Cerrada"))</f>
        <v>Cerrada</v>
      </c>
      <c r="D309" s="8" t="s">
        <v>144</v>
      </c>
      <c r="E309" s="8" t="s">
        <v>43</v>
      </c>
      <c r="F309" s="8"/>
      <c r="G309" s="8" t="s">
        <v>44</v>
      </c>
      <c r="H309" s="8" t="s">
        <v>44</v>
      </c>
      <c r="I309" s="8"/>
      <c r="J309" s="8" t="s">
        <v>145</v>
      </c>
      <c r="K309" s="8" t="s">
        <v>1133</v>
      </c>
      <c r="L309" s="8" t="s">
        <v>1207</v>
      </c>
      <c r="M309" s="8" t="s">
        <v>766</v>
      </c>
      <c r="N309" s="8" t="s">
        <v>200</v>
      </c>
      <c r="O309" s="8" t="s">
        <v>201</v>
      </c>
      <c r="P309" s="8" t="s">
        <v>1467</v>
      </c>
      <c r="Q309" s="8"/>
      <c r="R309" s="8" t="s">
        <v>52</v>
      </c>
      <c r="S309" s="8" t="s">
        <v>53</v>
      </c>
      <c r="T309" s="5">
        <v>46139</v>
      </c>
      <c r="U309" s="8"/>
      <c r="V309" s="8"/>
      <c r="W309" s="8" t="s">
        <v>54</v>
      </c>
      <c r="X309" s="8">
        <v>97871</v>
      </c>
      <c r="Y309" s="8" t="s">
        <v>1503</v>
      </c>
      <c r="Z309" s="8" t="s">
        <v>965</v>
      </c>
      <c r="AA309" s="11" t="s">
        <v>474</v>
      </c>
      <c r="AB309" s="8"/>
      <c r="AC309" s="8"/>
      <c r="AD309" s="8" t="s">
        <v>1366</v>
      </c>
      <c r="AE309" s="8" t="s">
        <v>154</v>
      </c>
      <c r="AF309" s="5">
        <v>46139</v>
      </c>
      <c r="AG309" s="5">
        <v>46139</v>
      </c>
      <c r="AH309" s="5"/>
      <c r="AI309" s="8"/>
      <c r="AJ309" s="8" t="s">
        <v>1504</v>
      </c>
      <c r="AK309" s="8" t="s">
        <v>611</v>
      </c>
      <c r="AL309" s="8" t="s">
        <v>207</v>
      </c>
      <c r="AM309" s="8"/>
      <c r="AN309" s="8"/>
      <c r="AO309" s="8"/>
    </row>
    <row r="310" spans="1:41" hidden="1">
      <c r="A310" s="7" t="s">
        <v>1505</v>
      </c>
      <c r="B310" s="5">
        <v>46132</v>
      </c>
      <c r="C310" s="17">
        <f ca="1">IF(B310="","",IF(OR(TRIM(R310)="En curso",TRIM(R310)="En proceso de ingreso"),TODAY()-B310,"Cerrada"))</f>
        <v>8</v>
      </c>
      <c r="D310" s="8" t="s">
        <v>144</v>
      </c>
      <c r="E310" s="8" t="s">
        <v>43</v>
      </c>
      <c r="F310" s="8"/>
      <c r="G310" s="8" t="s">
        <v>44</v>
      </c>
      <c r="H310" s="8" t="s">
        <v>44</v>
      </c>
      <c r="I310" s="8"/>
      <c r="J310" s="8" t="s">
        <v>145</v>
      </c>
      <c r="K310" s="8" t="s">
        <v>1133</v>
      </c>
      <c r="L310" s="8" t="s">
        <v>1207</v>
      </c>
      <c r="M310" s="8" t="s">
        <v>766</v>
      </c>
      <c r="N310" s="8" t="s">
        <v>200</v>
      </c>
      <c r="O310" s="8" t="s">
        <v>201</v>
      </c>
      <c r="P310" s="8" t="s">
        <v>1467</v>
      </c>
      <c r="Q310" s="8"/>
      <c r="R310" s="8" t="s">
        <v>724</v>
      </c>
      <c r="S310" s="8" t="s">
        <v>725</v>
      </c>
      <c r="T310" s="5">
        <v>46160</v>
      </c>
      <c r="U310" s="8" t="s">
        <v>69</v>
      </c>
      <c r="V310" s="8" t="s">
        <v>70</v>
      </c>
      <c r="W310" s="8" t="s">
        <v>54</v>
      </c>
      <c r="X310" s="8">
        <v>127973</v>
      </c>
      <c r="Y310" s="8" t="s">
        <v>1506</v>
      </c>
      <c r="Z310" s="8" t="s">
        <v>965</v>
      </c>
      <c r="AA310" s="11" t="s">
        <v>152</v>
      </c>
      <c r="AB310" s="8" t="s">
        <v>1469</v>
      </c>
      <c r="AC310" s="8"/>
      <c r="AD310" s="8" t="s">
        <v>1366</v>
      </c>
      <c r="AE310" s="8" t="s">
        <v>154</v>
      </c>
      <c r="AF310" s="5"/>
      <c r="AG310" s="5"/>
      <c r="AH310" s="5"/>
      <c r="AI310" s="8"/>
      <c r="AJ310" s="8"/>
      <c r="AK310" s="8"/>
      <c r="AL310" s="8"/>
      <c r="AM310" s="8"/>
      <c r="AN310" s="8"/>
      <c r="AO310" s="8"/>
    </row>
    <row r="311" spans="1:41" hidden="1">
      <c r="A311" s="7" t="s">
        <v>1507</v>
      </c>
      <c r="B311" s="5">
        <v>46118</v>
      </c>
      <c r="C311" s="17">
        <f ca="1">IF(B311="","",IF(OR(TRIM(R311)="En curso",TRIM(R311)="En proceso de ingreso"),TODAY()-B311,"Cerrada"))</f>
        <v>22</v>
      </c>
      <c r="D311" s="8" t="s">
        <v>144</v>
      </c>
      <c r="E311" s="8" t="s">
        <v>43</v>
      </c>
      <c r="F311" s="8"/>
      <c r="G311" s="8" t="s">
        <v>44</v>
      </c>
      <c r="H311" s="8" t="s">
        <v>44</v>
      </c>
      <c r="I311" s="8"/>
      <c r="J311" s="8" t="s">
        <v>145</v>
      </c>
      <c r="K311" s="8" t="s">
        <v>1133</v>
      </c>
      <c r="L311" s="8" t="s">
        <v>222</v>
      </c>
      <c r="M311" s="8" t="s">
        <v>1221</v>
      </c>
      <c r="N311" s="8" t="s">
        <v>223</v>
      </c>
      <c r="O311" s="8" t="s">
        <v>224</v>
      </c>
      <c r="P311" s="8" t="s">
        <v>225</v>
      </c>
      <c r="Q311" s="8"/>
      <c r="R311" s="8" t="s">
        <v>724</v>
      </c>
      <c r="S311" s="8" t="s">
        <v>725</v>
      </c>
      <c r="T311" s="5">
        <v>46160</v>
      </c>
      <c r="U311" s="8" t="s">
        <v>69</v>
      </c>
      <c r="V311" s="8" t="s">
        <v>70</v>
      </c>
      <c r="W311" s="8" t="s">
        <v>54</v>
      </c>
      <c r="X311" s="8">
        <v>170762</v>
      </c>
      <c r="Y311" s="8" t="s">
        <v>1508</v>
      </c>
      <c r="Z311" s="8" t="s">
        <v>941</v>
      </c>
      <c r="AA311" s="11" t="s">
        <v>474</v>
      </c>
      <c r="AB311" s="8"/>
      <c r="AC311" s="8"/>
      <c r="AD311" s="8" t="s">
        <v>1366</v>
      </c>
      <c r="AE311" s="8" t="s">
        <v>154</v>
      </c>
      <c r="AF311" s="8"/>
      <c r="AG311" s="8"/>
      <c r="AH311" s="5"/>
      <c r="AI311" s="8"/>
      <c r="AJ311" s="8"/>
      <c r="AK311" s="8"/>
      <c r="AL311" s="8"/>
      <c r="AM311" s="8"/>
      <c r="AN311" s="8"/>
      <c r="AO311" s="8"/>
    </row>
    <row r="312" spans="1:41" ht="28.5" hidden="1">
      <c r="A312" s="7" t="s">
        <v>1509</v>
      </c>
      <c r="B312" s="5">
        <v>46136</v>
      </c>
      <c r="C312" s="17">
        <f ca="1">IF(B312="","",IF(OR(TRIM(R312)="En curso",TRIM(R312)="En proceso de ingreso"),TODAY()-B312,"Cerrada"))</f>
        <v>4</v>
      </c>
      <c r="D312" s="8" t="s">
        <v>144</v>
      </c>
      <c r="E312" s="8" t="s">
        <v>43</v>
      </c>
      <c r="F312" s="8"/>
      <c r="G312" s="8" t="s">
        <v>44</v>
      </c>
      <c r="H312" s="8" t="s">
        <v>44</v>
      </c>
      <c r="I312" s="8"/>
      <c r="J312" s="8" t="s">
        <v>145</v>
      </c>
      <c r="K312" s="8" t="s">
        <v>1133</v>
      </c>
      <c r="L312" s="8" t="s">
        <v>1207</v>
      </c>
      <c r="M312" s="8" t="s">
        <v>766</v>
      </c>
      <c r="N312" s="8" t="s">
        <v>200</v>
      </c>
      <c r="O312" s="8" t="s">
        <v>201</v>
      </c>
      <c r="P312" s="8" t="s">
        <v>202</v>
      </c>
      <c r="Q312" s="8"/>
      <c r="R312" s="8" t="s">
        <v>743</v>
      </c>
      <c r="S312" s="8" t="s">
        <v>854</v>
      </c>
      <c r="T312" s="5">
        <v>46146</v>
      </c>
      <c r="U312" s="8" t="s">
        <v>69</v>
      </c>
      <c r="V312" s="8" t="s">
        <v>472</v>
      </c>
      <c r="W312" s="8" t="s">
        <v>54</v>
      </c>
      <c r="X312" s="8">
        <v>170281</v>
      </c>
      <c r="Y312" s="8" t="s">
        <v>1510</v>
      </c>
      <c r="Z312" s="8" t="s">
        <v>275</v>
      </c>
      <c r="AA312" s="8" t="s">
        <v>152</v>
      </c>
      <c r="AB312" s="8" t="s">
        <v>1469</v>
      </c>
      <c r="AC312" s="8"/>
      <c r="AD312" s="8" t="s">
        <v>1511</v>
      </c>
      <c r="AE312" s="8" t="s">
        <v>154</v>
      </c>
      <c r="AF312" s="5">
        <v>46132</v>
      </c>
      <c r="AG312" s="5">
        <v>46146</v>
      </c>
      <c r="AH312" s="5"/>
      <c r="AI312" s="8"/>
      <c r="AJ312" s="8" t="s">
        <v>1512</v>
      </c>
      <c r="AK312" s="8" t="s">
        <v>1175</v>
      </c>
      <c r="AL312" s="8" t="s">
        <v>207</v>
      </c>
      <c r="AM312" s="8"/>
      <c r="AN312" s="8"/>
      <c r="AO312" s="8" t="s">
        <v>1511</v>
      </c>
    </row>
    <row r="313" spans="1:41" hidden="1">
      <c r="A313" s="7" t="s">
        <v>1513</v>
      </c>
      <c r="B313" s="5">
        <v>46111</v>
      </c>
      <c r="C313" s="17">
        <f ca="1">IF(B313="","",IF(OR(TRIM(R313)="En curso",TRIM(R313)="En proceso de ingreso"),TODAY()-B313,"Cerrada"))</f>
        <v>29</v>
      </c>
      <c r="D313" s="8" t="s">
        <v>144</v>
      </c>
      <c r="E313" s="8" t="s">
        <v>43</v>
      </c>
      <c r="F313" s="8"/>
      <c r="G313" s="8" t="s">
        <v>44</v>
      </c>
      <c r="H313" s="8" t="s">
        <v>44</v>
      </c>
      <c r="I313" s="8"/>
      <c r="J313" s="8" t="s">
        <v>145</v>
      </c>
      <c r="K313" s="8" t="s">
        <v>1133</v>
      </c>
      <c r="L313" s="8" t="s">
        <v>222</v>
      </c>
      <c r="M313" s="8" t="s">
        <v>766</v>
      </c>
      <c r="N313" s="8" t="s">
        <v>223</v>
      </c>
      <c r="O313" s="8" t="s">
        <v>1294</v>
      </c>
      <c r="P313" s="8" t="s">
        <v>225</v>
      </c>
      <c r="Q313" s="8"/>
      <c r="R313" s="8" t="s">
        <v>724</v>
      </c>
      <c r="S313" s="8" t="s">
        <v>725</v>
      </c>
      <c r="T313" s="5">
        <v>46160</v>
      </c>
      <c r="U313" s="8" t="s">
        <v>69</v>
      </c>
      <c r="V313" s="8" t="s">
        <v>70</v>
      </c>
      <c r="W313" s="8" t="s">
        <v>54</v>
      </c>
      <c r="X313" s="8">
        <v>152605</v>
      </c>
      <c r="Y313" s="33" t="s">
        <v>1514</v>
      </c>
      <c r="Z313" s="8" t="s">
        <v>941</v>
      </c>
      <c r="AA313" s="11" t="s">
        <v>474</v>
      </c>
      <c r="AB313" s="8"/>
      <c r="AC313" s="8"/>
      <c r="AD313" s="8" t="s">
        <v>1366</v>
      </c>
      <c r="AE313" s="8" t="s">
        <v>154</v>
      </c>
      <c r="AF313" s="8"/>
      <c r="AG313" s="8"/>
      <c r="AH313" s="5"/>
      <c r="AI313" s="8"/>
      <c r="AJ313" s="8"/>
      <c r="AK313" s="8"/>
      <c r="AL313" s="8"/>
      <c r="AM313" s="8"/>
      <c r="AN313" s="8"/>
      <c r="AO313" s="8"/>
    </row>
    <row r="314" spans="1:41" ht="28.5" hidden="1">
      <c r="A314" s="7" t="s">
        <v>1515</v>
      </c>
      <c r="B314" s="5">
        <v>46071</v>
      </c>
      <c r="C314" s="17">
        <f ca="1">IF(B314="","",IF(OR(TRIM(R314)="En curso",TRIM(R314)="En proceso de ingreso"),TODAY()-B314,"Cerrada"))</f>
        <v>69</v>
      </c>
      <c r="D314" s="8" t="s">
        <v>144</v>
      </c>
      <c r="E314" s="8" t="s">
        <v>43</v>
      </c>
      <c r="F314" s="8"/>
      <c r="G314" s="8" t="s">
        <v>44</v>
      </c>
      <c r="H314" s="8" t="s">
        <v>44</v>
      </c>
      <c r="I314" s="8"/>
      <c r="J314" s="8" t="s">
        <v>145</v>
      </c>
      <c r="K314" s="8" t="s">
        <v>1133</v>
      </c>
      <c r="L314" s="8" t="s">
        <v>222</v>
      </c>
      <c r="M314" s="8" t="s">
        <v>1221</v>
      </c>
      <c r="N314" s="8" t="s">
        <v>223</v>
      </c>
      <c r="O314" s="8" t="s">
        <v>224</v>
      </c>
      <c r="P314" s="8" t="s">
        <v>606</v>
      </c>
      <c r="Q314" s="8"/>
      <c r="R314" s="8" t="s">
        <v>743</v>
      </c>
      <c r="S314" s="8" t="s">
        <v>854</v>
      </c>
      <c r="T314" s="5">
        <v>46146</v>
      </c>
      <c r="U314" s="8" t="s">
        <v>69</v>
      </c>
      <c r="V314" s="8" t="s">
        <v>472</v>
      </c>
      <c r="W314" s="8" t="s">
        <v>54</v>
      </c>
      <c r="X314" s="8">
        <v>122145</v>
      </c>
      <c r="Y314" s="8" t="s">
        <v>1516</v>
      </c>
      <c r="Z314" s="8" t="s">
        <v>941</v>
      </c>
      <c r="AA314" s="11" t="s">
        <v>474</v>
      </c>
      <c r="AB314" s="8"/>
      <c r="AC314" s="8"/>
      <c r="AD314" s="8" t="s">
        <v>1366</v>
      </c>
      <c r="AE314" s="8" t="s">
        <v>154</v>
      </c>
      <c r="AF314" s="5">
        <v>46132</v>
      </c>
      <c r="AG314" s="5">
        <v>46146</v>
      </c>
      <c r="AH314" s="5"/>
      <c r="AI314" s="8"/>
      <c r="AJ314" s="8" t="s">
        <v>1517</v>
      </c>
      <c r="AK314" s="8" t="s">
        <v>1160</v>
      </c>
      <c r="AL314" s="8" t="s">
        <v>207</v>
      </c>
      <c r="AM314" s="8"/>
      <c r="AN314" s="8"/>
      <c r="AO314" s="8"/>
    </row>
    <row r="315" spans="1:41" hidden="1">
      <c r="A315" s="7" t="s">
        <v>1518</v>
      </c>
      <c r="B315" s="5">
        <v>46067</v>
      </c>
      <c r="C315" s="17">
        <f ca="1">IF(B315="","",IF(OR(TRIM(R315)="En curso",TRIM(R315)="En proceso de ingreso"),TODAY()-B315,"Cerrada"))</f>
        <v>73</v>
      </c>
      <c r="D315" s="8" t="s">
        <v>144</v>
      </c>
      <c r="E315" s="8" t="s">
        <v>43</v>
      </c>
      <c r="F315" s="8"/>
      <c r="G315" s="8" t="s">
        <v>44</v>
      </c>
      <c r="H315" s="8" t="s">
        <v>44</v>
      </c>
      <c r="I315" s="8"/>
      <c r="J315" s="8" t="s">
        <v>145</v>
      </c>
      <c r="K315" s="8" t="s">
        <v>1133</v>
      </c>
      <c r="L315" s="8" t="s">
        <v>222</v>
      </c>
      <c r="M315" s="8" t="s">
        <v>766</v>
      </c>
      <c r="N315" s="8" t="s">
        <v>223</v>
      </c>
      <c r="O315" s="8" t="s">
        <v>1294</v>
      </c>
      <c r="P315" s="8" t="s">
        <v>225</v>
      </c>
      <c r="Q315" s="8"/>
      <c r="R315" s="8" t="s">
        <v>724</v>
      </c>
      <c r="S315" s="8" t="s">
        <v>725</v>
      </c>
      <c r="T315" s="5">
        <v>46160</v>
      </c>
      <c r="U315" s="8" t="s">
        <v>69</v>
      </c>
      <c r="V315" s="8" t="s">
        <v>70</v>
      </c>
      <c r="W315" s="8" t="s">
        <v>54</v>
      </c>
      <c r="X315" s="8">
        <v>165629</v>
      </c>
      <c r="Y315" s="8" t="s">
        <v>1519</v>
      </c>
      <c r="Z315" s="8" t="s">
        <v>941</v>
      </c>
      <c r="AA315" s="11" t="s">
        <v>474</v>
      </c>
      <c r="AB315" s="8"/>
      <c r="AC315" s="8"/>
      <c r="AD315" s="8" t="s">
        <v>1366</v>
      </c>
      <c r="AE315" s="8" t="s">
        <v>154</v>
      </c>
      <c r="AF315" s="5"/>
      <c r="AG315" s="8"/>
      <c r="AH315" s="5"/>
      <c r="AI315" s="8"/>
      <c r="AJ315" s="8"/>
      <c r="AK315" s="8"/>
      <c r="AL315" s="8" t="s">
        <v>207</v>
      </c>
      <c r="AM315" s="8"/>
      <c r="AN315" s="8"/>
      <c r="AO315" s="8"/>
    </row>
    <row r="316" spans="1:41" hidden="1">
      <c r="A316" s="7" t="s">
        <v>1520</v>
      </c>
      <c r="B316" s="5">
        <v>46111</v>
      </c>
      <c r="C316" s="17">
        <f ca="1">IF(B316="","",IF(OR(TRIM(R316)="En curso",TRIM(R316)="En proceso de ingreso"),TODAY()-B316,"Cerrada"))</f>
        <v>29</v>
      </c>
      <c r="D316" s="8" t="s">
        <v>144</v>
      </c>
      <c r="E316" s="8" t="s">
        <v>43</v>
      </c>
      <c r="F316" s="8"/>
      <c r="G316" s="8" t="s">
        <v>44</v>
      </c>
      <c r="H316" s="8" t="s">
        <v>44</v>
      </c>
      <c r="I316" s="8"/>
      <c r="J316" s="8" t="s">
        <v>145</v>
      </c>
      <c r="K316" s="8" t="s">
        <v>1133</v>
      </c>
      <c r="L316" s="8" t="s">
        <v>222</v>
      </c>
      <c r="M316" s="8" t="s">
        <v>1221</v>
      </c>
      <c r="N316" s="8" t="s">
        <v>223</v>
      </c>
      <c r="O316" s="8" t="s">
        <v>224</v>
      </c>
      <c r="P316" s="8" t="s">
        <v>225</v>
      </c>
      <c r="Q316" s="8"/>
      <c r="R316" s="8" t="s">
        <v>724</v>
      </c>
      <c r="S316" s="8" t="s">
        <v>725</v>
      </c>
      <c r="T316" s="5">
        <v>46160</v>
      </c>
      <c r="U316" s="8" t="s">
        <v>69</v>
      </c>
      <c r="V316" s="8" t="s">
        <v>70</v>
      </c>
      <c r="W316" s="8" t="s">
        <v>54</v>
      </c>
      <c r="X316" s="8">
        <v>152254</v>
      </c>
      <c r="Y316" s="8" t="s">
        <v>1521</v>
      </c>
      <c r="Z316" s="8" t="s">
        <v>1473</v>
      </c>
      <c r="AA316" s="8" t="s">
        <v>474</v>
      </c>
      <c r="AB316" s="8"/>
      <c r="AC316" s="8"/>
      <c r="AD316" s="8" t="s">
        <v>856</v>
      </c>
      <c r="AE316" s="8" t="s">
        <v>154</v>
      </c>
      <c r="AF316" s="8"/>
      <c r="AG316" s="8"/>
      <c r="AH316" s="5"/>
      <c r="AI316" s="8"/>
      <c r="AJ316" s="8"/>
      <c r="AK316" s="8"/>
      <c r="AL316" s="8" t="s">
        <v>207</v>
      </c>
      <c r="AM316" s="8"/>
      <c r="AN316" s="8"/>
      <c r="AO316" s="8"/>
    </row>
    <row r="317" spans="1:41" hidden="1">
      <c r="A317" s="7" t="s">
        <v>1522</v>
      </c>
      <c r="B317" s="34">
        <v>46139</v>
      </c>
      <c r="C317" s="17">
        <f ca="1">IF(B317="","",IF(OR(TRIM(R317)="En curso",TRIM(R317)="En proceso de ingreso"),TODAY()-B317,"Cerrada"))</f>
        <v>1</v>
      </c>
      <c r="D317" s="8" t="s">
        <v>144</v>
      </c>
      <c r="E317" s="8" t="s">
        <v>43</v>
      </c>
      <c r="F317" s="8"/>
      <c r="G317" s="8" t="s">
        <v>44</v>
      </c>
      <c r="H317" s="8" t="s">
        <v>44</v>
      </c>
      <c r="I317" s="8"/>
      <c r="J317" s="8" t="s">
        <v>145</v>
      </c>
      <c r="K317" s="8" t="s">
        <v>1133</v>
      </c>
      <c r="L317" s="8" t="s">
        <v>222</v>
      </c>
      <c r="M317" s="8" t="s">
        <v>766</v>
      </c>
      <c r="N317" s="8" t="s">
        <v>223</v>
      </c>
      <c r="O317" s="8" t="s">
        <v>1294</v>
      </c>
      <c r="P317" s="8" t="s">
        <v>225</v>
      </c>
      <c r="Q317" s="8"/>
      <c r="R317" s="8" t="s">
        <v>724</v>
      </c>
      <c r="S317" s="8" t="s">
        <v>725</v>
      </c>
      <c r="T317" s="5">
        <v>46160</v>
      </c>
      <c r="U317" s="8" t="s">
        <v>69</v>
      </c>
      <c r="V317" s="8" t="s">
        <v>70</v>
      </c>
      <c r="W317" s="8" t="s">
        <v>54</v>
      </c>
      <c r="X317" s="8">
        <v>170946</v>
      </c>
      <c r="Y317" s="8" t="s">
        <v>1523</v>
      </c>
      <c r="Z317" s="8" t="s">
        <v>941</v>
      </c>
      <c r="AA317" s="8" t="s">
        <v>474</v>
      </c>
      <c r="AB317" s="8"/>
      <c r="AC317" s="8"/>
      <c r="AD317" s="8" t="s">
        <v>856</v>
      </c>
      <c r="AE317" s="8" t="s">
        <v>154</v>
      </c>
      <c r="AF317" s="8"/>
      <c r="AG317" s="8"/>
      <c r="AH317" s="5"/>
      <c r="AI317" s="8"/>
      <c r="AJ317" s="8"/>
      <c r="AK317" s="8"/>
      <c r="AL317" s="8" t="s">
        <v>207</v>
      </c>
      <c r="AM317" s="8"/>
      <c r="AN317" s="8"/>
      <c r="AO317" s="8"/>
    </row>
    <row r="318" spans="1:41" hidden="1">
      <c r="A318" s="35" t="s">
        <v>1524</v>
      </c>
      <c r="B318" s="5"/>
      <c r="C318" s="17" t="str">
        <f ca="1">IF(B318="","",IF(OR(TRIM(R318)="En curso",TRIM(R318)="En proceso de ingreso"),TODAY()-B318,"Cerrada"))</f>
        <v/>
      </c>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5"/>
      <c r="AI318" s="8"/>
      <c r="AJ318" s="8"/>
      <c r="AK318" s="8"/>
      <c r="AL318" s="8"/>
      <c r="AM318" s="8"/>
      <c r="AN318" s="8"/>
      <c r="AO318" s="8"/>
    </row>
    <row r="319" spans="1:41" hidden="1">
      <c r="A319" s="35" t="s">
        <v>1525</v>
      </c>
      <c r="B319" s="5"/>
      <c r="C319" s="17" t="str">
        <f t="shared" ref="C319:C382" ca="1" si="0">IF(B319="","",IF(OR(TRIM(R319)="En curso",TRIM(R319)="En proceso de ingreso"),TODAY()-B319,"Cerrada"))</f>
        <v/>
      </c>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5"/>
      <c r="AI319" s="8"/>
      <c r="AJ319" s="8"/>
      <c r="AK319" s="8"/>
      <c r="AL319" s="8"/>
      <c r="AM319" s="8"/>
      <c r="AN319" s="8"/>
      <c r="AO319" s="8"/>
    </row>
    <row r="320" spans="1:41" hidden="1">
      <c r="A320" s="35" t="s">
        <v>1526</v>
      </c>
      <c r="B320" s="5"/>
      <c r="C320" s="17" t="str">
        <f t="shared" ca="1" si="0"/>
        <v/>
      </c>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5"/>
      <c r="AI320" s="8"/>
      <c r="AJ320" s="8"/>
      <c r="AK320" s="8"/>
      <c r="AL320" s="8"/>
      <c r="AM320" s="8"/>
      <c r="AN320" s="8"/>
      <c r="AO320" s="8"/>
    </row>
    <row r="321" spans="1:41" hidden="1">
      <c r="A321" s="35" t="s">
        <v>1527</v>
      </c>
      <c r="B321" s="5"/>
      <c r="C321" s="17" t="str">
        <f t="shared" ca="1" si="0"/>
        <v/>
      </c>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5"/>
      <c r="AI321" s="8"/>
      <c r="AJ321" s="8"/>
      <c r="AK321" s="8"/>
      <c r="AL321" s="8"/>
      <c r="AM321" s="8"/>
      <c r="AN321" s="8"/>
      <c r="AO321" s="8"/>
    </row>
    <row r="322" spans="1:41" hidden="1">
      <c r="A322" s="35" t="s">
        <v>1528</v>
      </c>
      <c r="B322" s="5"/>
      <c r="C322" s="17" t="str">
        <f t="shared" ca="1" si="0"/>
        <v/>
      </c>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5"/>
      <c r="AI322" s="8"/>
      <c r="AJ322" s="8"/>
      <c r="AK322" s="8"/>
      <c r="AL322" s="8"/>
      <c r="AM322" s="8"/>
      <c r="AN322" s="8"/>
      <c r="AO322" s="8"/>
    </row>
    <row r="323" spans="1:41" hidden="1">
      <c r="A323" s="35" t="s">
        <v>1529</v>
      </c>
      <c r="B323" s="5"/>
      <c r="C323" s="17" t="str">
        <f t="shared" ca="1" si="0"/>
        <v/>
      </c>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5"/>
      <c r="AI323" s="8"/>
      <c r="AJ323" s="8"/>
      <c r="AK323" s="8"/>
      <c r="AL323" s="8"/>
      <c r="AM323" s="8"/>
      <c r="AN323" s="8"/>
      <c r="AO323" s="8"/>
    </row>
    <row r="324" spans="1:41" hidden="1">
      <c r="A324" s="35" t="s">
        <v>1530</v>
      </c>
      <c r="B324" s="5"/>
      <c r="C324" s="17" t="str">
        <f t="shared" ca="1" si="0"/>
        <v/>
      </c>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5"/>
      <c r="AI324" s="8"/>
      <c r="AJ324" s="8"/>
      <c r="AK324" s="8"/>
      <c r="AL324" s="8"/>
      <c r="AM324" s="8"/>
      <c r="AN324" s="8"/>
      <c r="AO324" s="8"/>
    </row>
    <row r="325" spans="1:41" hidden="1">
      <c r="A325" s="35" t="s">
        <v>1531</v>
      </c>
      <c r="B325" s="5"/>
      <c r="C325" s="17" t="str">
        <f t="shared" ca="1" si="0"/>
        <v/>
      </c>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5"/>
      <c r="AI325" s="8"/>
      <c r="AJ325" s="8"/>
      <c r="AK325" s="8"/>
      <c r="AL325" s="8"/>
      <c r="AM325" s="8"/>
      <c r="AN325" s="8"/>
      <c r="AO325" s="8"/>
    </row>
    <row r="326" spans="1:41" hidden="1">
      <c r="A326" s="35" t="s">
        <v>1532</v>
      </c>
      <c r="B326" s="5"/>
      <c r="C326" s="17" t="str">
        <f t="shared" ca="1" si="0"/>
        <v/>
      </c>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5"/>
      <c r="AI326" s="8"/>
      <c r="AJ326" s="8"/>
      <c r="AK326" s="8"/>
      <c r="AL326" s="8"/>
      <c r="AM326" s="8"/>
      <c r="AN326" s="8"/>
      <c r="AO326" s="8"/>
    </row>
    <row r="327" spans="1:41" hidden="1">
      <c r="A327" s="35" t="s">
        <v>1533</v>
      </c>
      <c r="B327" s="5"/>
      <c r="C327" s="17" t="str">
        <f t="shared" ca="1" si="0"/>
        <v/>
      </c>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5"/>
      <c r="AI327" s="8"/>
      <c r="AJ327" s="8"/>
      <c r="AK327" s="8"/>
      <c r="AL327" s="8"/>
      <c r="AM327" s="8"/>
      <c r="AN327" s="8"/>
      <c r="AO327" s="8"/>
    </row>
    <row r="328" spans="1:41" hidden="1">
      <c r="A328" s="35" t="s">
        <v>1534</v>
      </c>
      <c r="B328" s="5"/>
      <c r="C328" s="17" t="str">
        <f t="shared" ca="1" si="0"/>
        <v/>
      </c>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5"/>
      <c r="AI328" s="8"/>
      <c r="AJ328" s="8"/>
      <c r="AK328" s="8"/>
      <c r="AL328" s="8"/>
      <c r="AM328" s="8"/>
      <c r="AN328" s="8"/>
      <c r="AO328" s="8"/>
    </row>
    <row r="329" spans="1:41" hidden="1">
      <c r="A329" s="35" t="s">
        <v>1535</v>
      </c>
      <c r="B329" s="5"/>
      <c r="C329" s="17" t="str">
        <f t="shared" ca="1" si="0"/>
        <v/>
      </c>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5"/>
      <c r="AI329" s="8"/>
      <c r="AJ329" s="8"/>
      <c r="AK329" s="8"/>
      <c r="AL329" s="8"/>
      <c r="AM329" s="8"/>
      <c r="AN329" s="8"/>
      <c r="AO329" s="8"/>
    </row>
    <row r="330" spans="1:41" hidden="1">
      <c r="A330" s="35" t="s">
        <v>1536</v>
      </c>
      <c r="B330" s="5"/>
      <c r="C330" s="17" t="str">
        <f t="shared" ca="1" si="0"/>
        <v/>
      </c>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5"/>
      <c r="AI330" s="8"/>
      <c r="AJ330" s="8"/>
      <c r="AK330" s="8"/>
      <c r="AL330" s="8"/>
      <c r="AM330" s="8"/>
      <c r="AN330" s="8"/>
      <c r="AO330" s="8"/>
    </row>
    <row r="331" spans="1:41" hidden="1">
      <c r="A331" s="35" t="s">
        <v>1537</v>
      </c>
      <c r="B331" s="5"/>
      <c r="C331" s="17" t="str">
        <f t="shared" ca="1" si="0"/>
        <v/>
      </c>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5"/>
      <c r="AI331" s="8"/>
      <c r="AJ331" s="8"/>
      <c r="AK331" s="8"/>
      <c r="AL331" s="8"/>
      <c r="AM331" s="8"/>
      <c r="AN331" s="8"/>
      <c r="AO331" s="8"/>
    </row>
    <row r="332" spans="1:41" hidden="1">
      <c r="A332" s="35" t="s">
        <v>1538</v>
      </c>
      <c r="B332" s="5"/>
      <c r="C332" s="17" t="str">
        <f t="shared" ca="1" si="0"/>
        <v/>
      </c>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5"/>
      <c r="AI332" s="8"/>
      <c r="AJ332" s="8"/>
      <c r="AK332" s="8"/>
      <c r="AL332" s="8"/>
      <c r="AM332" s="8"/>
      <c r="AN332" s="8"/>
      <c r="AO332" s="8"/>
    </row>
    <row r="333" spans="1:41" hidden="1">
      <c r="A333" s="35" t="s">
        <v>1539</v>
      </c>
      <c r="B333" s="5"/>
      <c r="C333" s="17" t="str">
        <f t="shared" ca="1" si="0"/>
        <v/>
      </c>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5"/>
      <c r="AI333" s="8"/>
      <c r="AJ333" s="8"/>
      <c r="AK333" s="8"/>
      <c r="AL333" s="8"/>
      <c r="AM333" s="8"/>
      <c r="AN333" s="8"/>
      <c r="AO333" s="8"/>
    </row>
    <row r="334" spans="1:41" hidden="1">
      <c r="A334" s="35" t="s">
        <v>1540</v>
      </c>
      <c r="B334" s="5"/>
      <c r="C334" s="17" t="str">
        <f t="shared" ca="1" si="0"/>
        <v/>
      </c>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5"/>
      <c r="AI334" s="8"/>
      <c r="AJ334" s="8"/>
      <c r="AK334" s="8"/>
      <c r="AL334" s="8"/>
      <c r="AM334" s="8"/>
      <c r="AN334" s="8"/>
      <c r="AO334" s="8"/>
    </row>
    <row r="335" spans="1:41" hidden="1">
      <c r="A335" s="35" t="s">
        <v>1541</v>
      </c>
      <c r="B335" s="5"/>
      <c r="C335" s="17" t="str">
        <f t="shared" ca="1" si="0"/>
        <v/>
      </c>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5"/>
      <c r="AI335" s="8"/>
      <c r="AJ335" s="8"/>
      <c r="AK335" s="8"/>
      <c r="AL335" s="8"/>
      <c r="AM335" s="8"/>
      <c r="AN335" s="8"/>
      <c r="AO335" s="8"/>
    </row>
    <row r="336" spans="1:41" hidden="1">
      <c r="A336" s="35" t="s">
        <v>1542</v>
      </c>
      <c r="B336" s="5"/>
      <c r="C336" s="17" t="str">
        <f t="shared" ca="1" si="0"/>
        <v/>
      </c>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5"/>
      <c r="AI336" s="8"/>
      <c r="AJ336" s="8"/>
      <c r="AK336" s="8"/>
      <c r="AL336" s="8"/>
      <c r="AM336" s="8"/>
      <c r="AN336" s="8"/>
      <c r="AO336" s="8"/>
    </row>
    <row r="337" spans="1:41" hidden="1">
      <c r="A337" s="35" t="s">
        <v>1543</v>
      </c>
      <c r="B337" s="5"/>
      <c r="C337" s="17" t="str">
        <f t="shared" ca="1" si="0"/>
        <v/>
      </c>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5"/>
      <c r="AI337" s="8"/>
      <c r="AJ337" s="8"/>
      <c r="AK337" s="8"/>
      <c r="AL337" s="8"/>
      <c r="AM337" s="8"/>
      <c r="AN337" s="8"/>
      <c r="AO337" s="8"/>
    </row>
    <row r="338" spans="1:41" hidden="1">
      <c r="A338" s="35" t="s">
        <v>1544</v>
      </c>
      <c r="B338" s="5"/>
      <c r="C338" s="17" t="str">
        <f t="shared" ca="1" si="0"/>
        <v/>
      </c>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5"/>
      <c r="AI338" s="8"/>
      <c r="AJ338" s="8"/>
      <c r="AK338" s="8"/>
      <c r="AL338" s="8"/>
      <c r="AM338" s="8"/>
      <c r="AN338" s="8"/>
      <c r="AO338" s="8"/>
    </row>
    <row r="339" spans="1:41" hidden="1">
      <c r="A339" s="35" t="s">
        <v>1545</v>
      </c>
      <c r="B339" s="5"/>
      <c r="C339" s="17" t="str">
        <f t="shared" ca="1" si="0"/>
        <v/>
      </c>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5"/>
      <c r="AI339" s="8"/>
      <c r="AJ339" s="8"/>
      <c r="AK339" s="8"/>
      <c r="AL339" s="8"/>
      <c r="AM339" s="8"/>
      <c r="AN339" s="8"/>
      <c r="AO339" s="8"/>
    </row>
    <row r="340" spans="1:41" hidden="1">
      <c r="A340" s="35" t="s">
        <v>1546</v>
      </c>
      <c r="B340" s="5"/>
      <c r="C340" s="17" t="str">
        <f t="shared" ca="1" si="0"/>
        <v/>
      </c>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5"/>
      <c r="AI340" s="8"/>
      <c r="AJ340" s="8"/>
      <c r="AK340" s="8"/>
      <c r="AL340" s="8"/>
      <c r="AM340" s="8"/>
      <c r="AN340" s="8"/>
      <c r="AO340" s="8"/>
    </row>
    <row r="341" spans="1:41" hidden="1">
      <c r="A341" s="35" t="s">
        <v>1547</v>
      </c>
      <c r="B341" s="5"/>
      <c r="C341" s="17" t="str">
        <f t="shared" ca="1" si="0"/>
        <v/>
      </c>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5"/>
      <c r="AI341" s="8"/>
      <c r="AJ341" s="8"/>
      <c r="AK341" s="8"/>
      <c r="AL341" s="8"/>
      <c r="AM341" s="8"/>
      <c r="AN341" s="8"/>
      <c r="AO341" s="8"/>
    </row>
    <row r="342" spans="1:41" hidden="1">
      <c r="A342" s="35" t="s">
        <v>1548</v>
      </c>
      <c r="B342" s="5"/>
      <c r="C342" s="17" t="str">
        <f t="shared" ca="1" si="0"/>
        <v/>
      </c>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5"/>
      <c r="AI342" s="8"/>
      <c r="AJ342" s="8"/>
      <c r="AK342" s="8"/>
      <c r="AL342" s="8"/>
      <c r="AM342" s="8"/>
      <c r="AN342" s="8"/>
      <c r="AO342" s="8"/>
    </row>
    <row r="343" spans="1:41" hidden="1">
      <c r="A343" s="35" t="s">
        <v>1549</v>
      </c>
      <c r="B343" s="5"/>
      <c r="C343" s="17" t="str">
        <f t="shared" ca="1" si="0"/>
        <v/>
      </c>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5"/>
      <c r="AI343" s="8"/>
      <c r="AJ343" s="8"/>
      <c r="AK343" s="8"/>
      <c r="AL343" s="8"/>
      <c r="AM343" s="8"/>
      <c r="AN343" s="8"/>
      <c r="AO343" s="8"/>
    </row>
    <row r="344" spans="1:41" hidden="1">
      <c r="A344" s="35" t="s">
        <v>1550</v>
      </c>
      <c r="B344" s="5"/>
      <c r="C344" s="17" t="str">
        <f t="shared" ca="1" si="0"/>
        <v/>
      </c>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5"/>
      <c r="AI344" s="8"/>
      <c r="AJ344" s="8"/>
      <c r="AK344" s="8"/>
      <c r="AL344" s="8"/>
      <c r="AM344" s="8"/>
      <c r="AN344" s="8"/>
      <c r="AO344" s="8"/>
    </row>
    <row r="345" spans="1:41" hidden="1">
      <c r="A345" s="35" t="s">
        <v>1551</v>
      </c>
      <c r="B345" s="5"/>
      <c r="C345" s="17" t="str">
        <f t="shared" ca="1" si="0"/>
        <v/>
      </c>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5"/>
      <c r="AI345" s="8"/>
      <c r="AJ345" s="8"/>
      <c r="AK345" s="8"/>
      <c r="AL345" s="8"/>
      <c r="AM345" s="8"/>
      <c r="AN345" s="8"/>
      <c r="AO345" s="8"/>
    </row>
    <row r="346" spans="1:41" hidden="1">
      <c r="A346" s="35" t="s">
        <v>1552</v>
      </c>
      <c r="B346" s="5"/>
      <c r="C346" s="17" t="str">
        <f t="shared" ca="1" si="0"/>
        <v/>
      </c>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5"/>
      <c r="AI346" s="8"/>
      <c r="AJ346" s="8"/>
      <c r="AK346" s="8"/>
      <c r="AL346" s="8"/>
      <c r="AM346" s="8"/>
      <c r="AN346" s="8"/>
      <c r="AO346" s="8"/>
    </row>
    <row r="347" spans="1:41" hidden="1">
      <c r="A347" s="35" t="s">
        <v>1553</v>
      </c>
      <c r="B347" s="5"/>
      <c r="C347" s="17" t="str">
        <f t="shared" ca="1" si="0"/>
        <v/>
      </c>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5"/>
      <c r="AI347" s="8"/>
      <c r="AJ347" s="8"/>
      <c r="AK347" s="8"/>
      <c r="AL347" s="8"/>
      <c r="AM347" s="8"/>
      <c r="AN347" s="8"/>
      <c r="AO347" s="8"/>
    </row>
    <row r="348" spans="1:41" hidden="1">
      <c r="A348" s="35" t="s">
        <v>1554</v>
      </c>
      <c r="B348" s="5"/>
      <c r="C348" s="17" t="str">
        <f t="shared" ca="1" si="0"/>
        <v/>
      </c>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5"/>
      <c r="AI348" s="8"/>
      <c r="AJ348" s="8"/>
      <c r="AK348" s="8"/>
      <c r="AL348" s="8"/>
      <c r="AM348" s="8"/>
      <c r="AN348" s="8"/>
      <c r="AO348" s="8"/>
    </row>
    <row r="349" spans="1:41" hidden="1">
      <c r="A349" s="35" t="s">
        <v>1555</v>
      </c>
      <c r="B349" s="5"/>
      <c r="C349" s="17" t="str">
        <f t="shared" ca="1" si="0"/>
        <v/>
      </c>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5"/>
      <c r="AI349" s="8"/>
      <c r="AJ349" s="8"/>
      <c r="AK349" s="8"/>
      <c r="AL349" s="8"/>
      <c r="AM349" s="8"/>
      <c r="AN349" s="8"/>
      <c r="AO349" s="8"/>
    </row>
    <row r="350" spans="1:41" hidden="1">
      <c r="A350" s="35" t="s">
        <v>1556</v>
      </c>
      <c r="B350" s="5"/>
      <c r="C350" s="17" t="str">
        <f t="shared" ca="1" si="0"/>
        <v/>
      </c>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5"/>
      <c r="AI350" s="8"/>
      <c r="AJ350" s="8"/>
      <c r="AK350" s="8"/>
      <c r="AL350" s="8"/>
      <c r="AM350" s="8"/>
      <c r="AN350" s="8"/>
      <c r="AO350" s="8"/>
    </row>
    <row r="351" spans="1:41" hidden="1">
      <c r="A351" s="35" t="s">
        <v>1557</v>
      </c>
      <c r="B351" s="5"/>
      <c r="C351" s="17" t="str">
        <f t="shared" ca="1" si="0"/>
        <v/>
      </c>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5"/>
      <c r="AI351" s="8"/>
      <c r="AJ351" s="8"/>
      <c r="AK351" s="8"/>
      <c r="AL351" s="8"/>
      <c r="AM351" s="8"/>
      <c r="AN351" s="8"/>
      <c r="AO351" s="8"/>
    </row>
    <row r="352" spans="1:41" hidden="1">
      <c r="A352" s="35" t="s">
        <v>1558</v>
      </c>
      <c r="B352" s="5"/>
      <c r="C352" s="17" t="str">
        <f t="shared" ca="1" si="0"/>
        <v/>
      </c>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5"/>
      <c r="AI352" s="8"/>
      <c r="AJ352" s="8"/>
      <c r="AK352" s="8"/>
      <c r="AL352" s="8"/>
      <c r="AM352" s="8"/>
      <c r="AN352" s="8"/>
      <c r="AO352" s="8"/>
    </row>
    <row r="353" spans="1:41" hidden="1">
      <c r="A353" s="35" t="s">
        <v>1559</v>
      </c>
      <c r="B353" s="5"/>
      <c r="C353" s="17" t="str">
        <f t="shared" ca="1" si="0"/>
        <v/>
      </c>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5"/>
      <c r="AI353" s="8"/>
      <c r="AJ353" s="8"/>
      <c r="AK353" s="8"/>
      <c r="AL353" s="8"/>
      <c r="AM353" s="8"/>
      <c r="AN353" s="8"/>
      <c r="AO353" s="8"/>
    </row>
    <row r="354" spans="1:41" hidden="1">
      <c r="A354" s="35" t="s">
        <v>1560</v>
      </c>
      <c r="B354" s="5"/>
      <c r="C354" s="17" t="str">
        <f t="shared" ca="1" si="0"/>
        <v/>
      </c>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5"/>
      <c r="AI354" s="8"/>
      <c r="AJ354" s="8"/>
      <c r="AK354" s="8"/>
      <c r="AL354" s="8"/>
      <c r="AM354" s="8"/>
      <c r="AN354" s="8"/>
      <c r="AO354" s="8"/>
    </row>
    <row r="355" spans="1:41" hidden="1">
      <c r="A355" s="35" t="s">
        <v>1561</v>
      </c>
      <c r="B355" s="5"/>
      <c r="C355" s="17" t="str">
        <f t="shared" ca="1" si="0"/>
        <v/>
      </c>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5"/>
      <c r="AI355" s="8"/>
      <c r="AJ355" s="8"/>
      <c r="AK355" s="8"/>
      <c r="AL355" s="8"/>
      <c r="AM355" s="8"/>
      <c r="AN355" s="8"/>
      <c r="AO355" s="8"/>
    </row>
    <row r="356" spans="1:41" hidden="1">
      <c r="A356" s="35" t="s">
        <v>1562</v>
      </c>
      <c r="B356" s="5"/>
      <c r="C356" s="17" t="str">
        <f t="shared" ca="1" si="0"/>
        <v/>
      </c>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5"/>
      <c r="AI356" s="8"/>
      <c r="AJ356" s="8"/>
      <c r="AK356" s="8"/>
      <c r="AL356" s="8"/>
      <c r="AM356" s="8"/>
      <c r="AN356" s="8"/>
      <c r="AO356" s="8"/>
    </row>
    <row r="357" spans="1:41" hidden="1">
      <c r="A357" s="35" t="s">
        <v>1563</v>
      </c>
      <c r="B357" s="5"/>
      <c r="C357" s="17" t="str">
        <f t="shared" ca="1" si="0"/>
        <v/>
      </c>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5"/>
      <c r="AI357" s="8"/>
      <c r="AJ357" s="8"/>
      <c r="AK357" s="8"/>
      <c r="AL357" s="8"/>
      <c r="AM357" s="8"/>
      <c r="AN357" s="8"/>
      <c r="AO357" s="8"/>
    </row>
    <row r="358" spans="1:41" hidden="1">
      <c r="A358" s="35" t="s">
        <v>1564</v>
      </c>
      <c r="B358" s="5"/>
      <c r="C358" s="17" t="str">
        <f t="shared" ca="1" si="0"/>
        <v/>
      </c>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5"/>
      <c r="AI358" s="8"/>
      <c r="AJ358" s="8"/>
      <c r="AK358" s="8"/>
      <c r="AL358" s="8"/>
      <c r="AM358" s="8"/>
      <c r="AN358" s="8"/>
      <c r="AO358" s="8"/>
    </row>
    <row r="359" spans="1:41" hidden="1">
      <c r="A359" s="35" t="s">
        <v>1565</v>
      </c>
      <c r="B359" s="5"/>
      <c r="C359" s="17" t="str">
        <f t="shared" ca="1" si="0"/>
        <v/>
      </c>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5"/>
      <c r="AI359" s="8"/>
      <c r="AJ359" s="8"/>
      <c r="AK359" s="8"/>
      <c r="AL359" s="8"/>
      <c r="AM359" s="8"/>
      <c r="AN359" s="8"/>
      <c r="AO359" s="8"/>
    </row>
    <row r="360" spans="1:41" hidden="1">
      <c r="A360" s="35" t="s">
        <v>1566</v>
      </c>
      <c r="B360" s="5"/>
      <c r="C360" s="17" t="str">
        <f t="shared" ca="1" si="0"/>
        <v/>
      </c>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5"/>
      <c r="AI360" s="8"/>
      <c r="AJ360" s="8"/>
      <c r="AK360" s="8"/>
      <c r="AL360" s="8"/>
      <c r="AM360" s="8"/>
      <c r="AN360" s="8"/>
      <c r="AO360" s="8"/>
    </row>
    <row r="361" spans="1:41" hidden="1">
      <c r="A361" s="35" t="s">
        <v>1567</v>
      </c>
      <c r="B361" s="5"/>
      <c r="C361" s="17" t="str">
        <f t="shared" ca="1" si="0"/>
        <v/>
      </c>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5"/>
      <c r="AI361" s="8"/>
      <c r="AJ361" s="8"/>
      <c r="AK361" s="8"/>
      <c r="AL361" s="8"/>
      <c r="AM361" s="8"/>
      <c r="AN361" s="8"/>
      <c r="AO361" s="8"/>
    </row>
    <row r="362" spans="1:41" hidden="1">
      <c r="A362" s="35" t="s">
        <v>1568</v>
      </c>
      <c r="B362" s="5"/>
      <c r="C362" s="17" t="str">
        <f t="shared" ca="1" si="0"/>
        <v/>
      </c>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5"/>
      <c r="AI362" s="8"/>
      <c r="AJ362" s="8"/>
      <c r="AK362" s="8"/>
      <c r="AL362" s="8"/>
      <c r="AM362" s="8"/>
      <c r="AN362" s="8"/>
      <c r="AO362" s="8"/>
    </row>
    <row r="363" spans="1:41" hidden="1">
      <c r="A363" s="35" t="s">
        <v>1569</v>
      </c>
      <c r="B363" s="5"/>
      <c r="C363" s="17" t="str">
        <f t="shared" ca="1" si="0"/>
        <v/>
      </c>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5"/>
      <c r="AI363" s="8"/>
      <c r="AJ363" s="8"/>
      <c r="AK363" s="8"/>
      <c r="AL363" s="8"/>
      <c r="AM363" s="8"/>
      <c r="AN363" s="8"/>
      <c r="AO363" s="8"/>
    </row>
    <row r="364" spans="1:41" hidden="1">
      <c r="A364" s="35" t="s">
        <v>1570</v>
      </c>
      <c r="B364" s="5"/>
      <c r="C364" s="17" t="str">
        <f t="shared" ca="1" si="0"/>
        <v/>
      </c>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5"/>
      <c r="AI364" s="8"/>
      <c r="AJ364" s="8"/>
      <c r="AK364" s="8"/>
      <c r="AL364" s="8"/>
      <c r="AM364" s="8"/>
      <c r="AN364" s="8"/>
      <c r="AO364" s="8"/>
    </row>
    <row r="365" spans="1:41" hidden="1">
      <c r="A365" s="35" t="s">
        <v>1571</v>
      </c>
      <c r="B365" s="5"/>
      <c r="C365" s="17" t="str">
        <f t="shared" ca="1" si="0"/>
        <v/>
      </c>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5"/>
      <c r="AI365" s="8"/>
      <c r="AJ365" s="8"/>
      <c r="AK365" s="8"/>
      <c r="AL365" s="8"/>
      <c r="AM365" s="8"/>
      <c r="AN365" s="8"/>
      <c r="AO365" s="8"/>
    </row>
    <row r="366" spans="1:41" hidden="1">
      <c r="A366" s="35" t="s">
        <v>1572</v>
      </c>
      <c r="B366" s="5"/>
      <c r="C366" s="17" t="str">
        <f t="shared" ca="1" si="0"/>
        <v/>
      </c>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5"/>
      <c r="AI366" s="8"/>
      <c r="AJ366" s="8"/>
      <c r="AK366" s="8"/>
      <c r="AL366" s="8"/>
      <c r="AM366" s="8"/>
      <c r="AN366" s="8"/>
      <c r="AO366" s="8"/>
    </row>
    <row r="367" spans="1:41" hidden="1">
      <c r="A367" s="35" t="s">
        <v>1573</v>
      </c>
      <c r="B367" s="5"/>
      <c r="C367" s="17" t="str">
        <f t="shared" ca="1" si="0"/>
        <v/>
      </c>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5"/>
      <c r="AI367" s="8"/>
      <c r="AJ367" s="8"/>
      <c r="AK367" s="8"/>
      <c r="AL367" s="8"/>
      <c r="AM367" s="8"/>
      <c r="AN367" s="8"/>
      <c r="AO367" s="8"/>
    </row>
    <row r="368" spans="1:41" hidden="1">
      <c r="A368" s="35" t="s">
        <v>1574</v>
      </c>
      <c r="B368" s="5"/>
      <c r="C368" s="17" t="str">
        <f t="shared" ca="1" si="0"/>
        <v/>
      </c>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5"/>
      <c r="AI368" s="8"/>
      <c r="AJ368" s="8"/>
      <c r="AK368" s="8"/>
      <c r="AL368" s="8"/>
      <c r="AM368" s="8"/>
      <c r="AN368" s="8"/>
      <c r="AO368" s="8"/>
    </row>
    <row r="369" spans="1:41" hidden="1">
      <c r="A369" s="35" t="s">
        <v>1575</v>
      </c>
      <c r="B369" s="5"/>
      <c r="C369" s="17" t="str">
        <f t="shared" ca="1" si="0"/>
        <v/>
      </c>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5"/>
      <c r="AI369" s="8"/>
      <c r="AJ369" s="8"/>
      <c r="AK369" s="8"/>
      <c r="AL369" s="8"/>
      <c r="AM369" s="8"/>
      <c r="AN369" s="8"/>
      <c r="AO369" s="8"/>
    </row>
    <row r="370" spans="1:41" hidden="1">
      <c r="A370" s="35" t="s">
        <v>1576</v>
      </c>
      <c r="B370" s="5"/>
      <c r="C370" s="17" t="str">
        <f t="shared" ca="1" si="0"/>
        <v/>
      </c>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5"/>
      <c r="AI370" s="8"/>
      <c r="AJ370" s="8"/>
      <c r="AK370" s="8"/>
      <c r="AL370" s="8"/>
      <c r="AM370" s="8"/>
      <c r="AN370" s="8"/>
      <c r="AO370" s="8"/>
    </row>
    <row r="371" spans="1:41" hidden="1">
      <c r="A371" s="35" t="s">
        <v>1577</v>
      </c>
      <c r="B371" s="5"/>
      <c r="C371" s="17" t="str">
        <f t="shared" ca="1" si="0"/>
        <v/>
      </c>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5"/>
      <c r="AI371" s="8"/>
      <c r="AJ371" s="8"/>
      <c r="AK371" s="8"/>
      <c r="AL371" s="8"/>
      <c r="AM371" s="8"/>
      <c r="AN371" s="8"/>
      <c r="AO371" s="8"/>
    </row>
    <row r="372" spans="1:41" hidden="1">
      <c r="A372" s="35" t="s">
        <v>1578</v>
      </c>
      <c r="B372" s="5"/>
      <c r="C372" s="17" t="str">
        <f t="shared" ca="1" si="0"/>
        <v/>
      </c>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5"/>
      <c r="AI372" s="8"/>
      <c r="AJ372" s="8"/>
      <c r="AK372" s="8"/>
      <c r="AL372" s="8"/>
      <c r="AM372" s="8"/>
      <c r="AN372" s="8"/>
      <c r="AO372" s="8"/>
    </row>
    <row r="373" spans="1:41" hidden="1">
      <c r="A373" s="35" t="s">
        <v>1579</v>
      </c>
      <c r="B373" s="5"/>
      <c r="C373" s="17" t="str">
        <f t="shared" ca="1" si="0"/>
        <v/>
      </c>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5"/>
      <c r="AI373" s="8"/>
      <c r="AJ373" s="8"/>
      <c r="AK373" s="8"/>
      <c r="AL373" s="8"/>
      <c r="AM373" s="8"/>
      <c r="AN373" s="8"/>
      <c r="AO373" s="8"/>
    </row>
    <row r="374" spans="1:41" hidden="1">
      <c r="A374" s="35" t="s">
        <v>1580</v>
      </c>
      <c r="B374" s="5"/>
      <c r="C374" s="17" t="str">
        <f t="shared" ca="1" si="0"/>
        <v/>
      </c>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5"/>
      <c r="AI374" s="8"/>
      <c r="AJ374" s="8"/>
      <c r="AK374" s="8"/>
      <c r="AL374" s="8"/>
      <c r="AM374" s="8"/>
      <c r="AN374" s="8"/>
      <c r="AO374" s="8"/>
    </row>
    <row r="375" spans="1:41" hidden="1">
      <c r="A375" s="35" t="s">
        <v>1581</v>
      </c>
      <c r="B375" s="5"/>
      <c r="C375" s="17" t="str">
        <f t="shared" ca="1" si="0"/>
        <v/>
      </c>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5"/>
      <c r="AI375" s="8"/>
      <c r="AJ375" s="8"/>
      <c r="AK375" s="8"/>
      <c r="AL375" s="8"/>
      <c r="AM375" s="8"/>
      <c r="AN375" s="8"/>
      <c r="AO375" s="8"/>
    </row>
    <row r="376" spans="1:41" hidden="1">
      <c r="A376" s="35" t="s">
        <v>1582</v>
      </c>
      <c r="B376" s="5"/>
      <c r="C376" s="17" t="str">
        <f t="shared" ca="1" si="0"/>
        <v/>
      </c>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5"/>
      <c r="AI376" s="8"/>
      <c r="AJ376" s="8"/>
      <c r="AK376" s="8"/>
      <c r="AL376" s="8"/>
      <c r="AM376" s="8"/>
      <c r="AN376" s="8"/>
      <c r="AO376" s="8"/>
    </row>
    <row r="377" spans="1:41" hidden="1">
      <c r="A377" s="35" t="s">
        <v>1583</v>
      </c>
      <c r="B377" s="5"/>
      <c r="C377" s="17" t="str">
        <f t="shared" ca="1" si="0"/>
        <v/>
      </c>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5"/>
      <c r="AI377" s="8"/>
      <c r="AJ377" s="8"/>
      <c r="AK377" s="8"/>
      <c r="AL377" s="8"/>
      <c r="AM377" s="8"/>
      <c r="AN377" s="8"/>
      <c r="AO377" s="8"/>
    </row>
    <row r="378" spans="1:41" hidden="1">
      <c r="A378" s="35" t="s">
        <v>1584</v>
      </c>
      <c r="B378" s="5"/>
      <c r="C378" s="17" t="str">
        <f t="shared" ca="1" si="0"/>
        <v/>
      </c>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5"/>
      <c r="AI378" s="8"/>
      <c r="AJ378" s="8"/>
      <c r="AK378" s="8"/>
      <c r="AL378" s="8"/>
      <c r="AM378" s="8"/>
      <c r="AN378" s="8"/>
      <c r="AO378" s="8"/>
    </row>
    <row r="379" spans="1:41" hidden="1">
      <c r="A379" s="35" t="s">
        <v>1585</v>
      </c>
      <c r="B379" s="5"/>
      <c r="C379" s="17" t="str">
        <f t="shared" ca="1" si="0"/>
        <v/>
      </c>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5"/>
      <c r="AI379" s="8"/>
      <c r="AJ379" s="8"/>
      <c r="AK379" s="8"/>
      <c r="AL379" s="8"/>
      <c r="AM379" s="8"/>
      <c r="AN379" s="8"/>
      <c r="AO379" s="8"/>
    </row>
    <row r="380" spans="1:41" hidden="1">
      <c r="A380" s="35" t="s">
        <v>1586</v>
      </c>
      <c r="B380" s="5"/>
      <c r="C380" s="17" t="str">
        <f t="shared" ca="1" si="0"/>
        <v/>
      </c>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5"/>
      <c r="AI380" s="8"/>
      <c r="AJ380" s="8"/>
      <c r="AK380" s="8"/>
      <c r="AL380" s="8"/>
      <c r="AM380" s="8"/>
      <c r="AN380" s="8"/>
      <c r="AO380" s="8"/>
    </row>
    <row r="381" spans="1:41" hidden="1">
      <c r="A381" s="35" t="s">
        <v>1587</v>
      </c>
      <c r="B381" s="5"/>
      <c r="C381" s="17" t="str">
        <f t="shared" ca="1" si="0"/>
        <v/>
      </c>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5"/>
      <c r="AI381" s="8"/>
      <c r="AJ381" s="8"/>
      <c r="AK381" s="8"/>
      <c r="AL381" s="8"/>
      <c r="AM381" s="8"/>
      <c r="AN381" s="8"/>
      <c r="AO381" s="8"/>
    </row>
    <row r="382" spans="1:41" hidden="1">
      <c r="A382" s="35" t="s">
        <v>1588</v>
      </c>
      <c r="B382" s="5"/>
      <c r="C382" s="17" t="str">
        <f t="shared" ca="1" si="0"/>
        <v/>
      </c>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5"/>
      <c r="AI382" s="8"/>
      <c r="AJ382" s="8"/>
      <c r="AK382" s="8"/>
      <c r="AL382" s="8"/>
      <c r="AM382" s="8"/>
      <c r="AN382" s="8"/>
      <c r="AO382" s="8"/>
    </row>
    <row r="383" spans="1:41" hidden="1">
      <c r="A383" s="35" t="s">
        <v>1589</v>
      </c>
      <c r="B383" s="5"/>
      <c r="C383" s="17" t="str">
        <f t="shared" ref="C383:C400" ca="1" si="1">IF(B383="","",IF(OR(TRIM(R383)="En curso",TRIM(R383)="En proceso de ingreso"),TODAY()-B383,"Cerrada"))</f>
        <v/>
      </c>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5"/>
      <c r="AI383" s="8"/>
      <c r="AJ383" s="8"/>
      <c r="AK383" s="8"/>
      <c r="AL383" s="8"/>
      <c r="AM383" s="8"/>
      <c r="AN383" s="8"/>
      <c r="AO383" s="8"/>
    </row>
    <row r="384" spans="1:41" hidden="1">
      <c r="A384" s="35" t="s">
        <v>1590</v>
      </c>
      <c r="B384" s="5"/>
      <c r="C384" s="17" t="str">
        <f t="shared" ca="1" si="1"/>
        <v/>
      </c>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5"/>
      <c r="AI384" s="8"/>
      <c r="AJ384" s="8"/>
      <c r="AK384" s="8"/>
      <c r="AL384" s="8"/>
      <c r="AM384" s="8"/>
      <c r="AN384" s="8"/>
      <c r="AO384" s="8"/>
    </row>
    <row r="385" spans="1:41" hidden="1">
      <c r="A385" s="35" t="s">
        <v>1591</v>
      </c>
      <c r="B385" s="5"/>
      <c r="C385" s="17" t="str">
        <f t="shared" ca="1" si="1"/>
        <v/>
      </c>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5"/>
      <c r="AI385" s="8"/>
      <c r="AJ385" s="8"/>
      <c r="AK385" s="8"/>
      <c r="AL385" s="8"/>
      <c r="AM385" s="8"/>
      <c r="AN385" s="8"/>
      <c r="AO385" s="8"/>
    </row>
    <row r="386" spans="1:41" hidden="1">
      <c r="A386" s="35" t="s">
        <v>1592</v>
      </c>
      <c r="B386" s="5"/>
      <c r="C386" s="17" t="str">
        <f t="shared" ca="1" si="1"/>
        <v/>
      </c>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5"/>
      <c r="AI386" s="8"/>
      <c r="AJ386" s="8"/>
      <c r="AK386" s="8"/>
      <c r="AL386" s="8"/>
      <c r="AM386" s="8"/>
      <c r="AN386" s="8"/>
      <c r="AO386" s="8"/>
    </row>
    <row r="387" spans="1:41" hidden="1">
      <c r="A387" s="35" t="s">
        <v>1593</v>
      </c>
      <c r="B387" s="5"/>
      <c r="C387" s="17" t="str">
        <f t="shared" ca="1" si="1"/>
        <v/>
      </c>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5"/>
      <c r="AI387" s="8"/>
      <c r="AJ387" s="8"/>
      <c r="AK387" s="8"/>
      <c r="AL387" s="8"/>
      <c r="AM387" s="8"/>
      <c r="AN387" s="8"/>
      <c r="AO387" s="8"/>
    </row>
    <row r="388" spans="1:41" hidden="1">
      <c r="A388" s="35" t="s">
        <v>1594</v>
      </c>
      <c r="B388" s="5"/>
      <c r="C388" s="17" t="str">
        <f t="shared" ca="1" si="1"/>
        <v/>
      </c>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5"/>
      <c r="AI388" s="8"/>
      <c r="AJ388" s="8"/>
      <c r="AK388" s="8"/>
      <c r="AL388" s="8"/>
      <c r="AM388" s="8"/>
      <c r="AN388" s="8"/>
      <c r="AO388" s="8"/>
    </row>
    <row r="389" spans="1:41" hidden="1">
      <c r="A389" s="35" t="s">
        <v>1595</v>
      </c>
      <c r="B389" s="5"/>
      <c r="C389" s="17" t="str">
        <f t="shared" ca="1" si="1"/>
        <v/>
      </c>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5"/>
      <c r="AI389" s="8"/>
      <c r="AJ389" s="8"/>
      <c r="AK389" s="8"/>
      <c r="AL389" s="8"/>
      <c r="AM389" s="8"/>
      <c r="AN389" s="8"/>
      <c r="AO389" s="8"/>
    </row>
    <row r="390" spans="1:41" hidden="1">
      <c r="A390" s="35" t="s">
        <v>1596</v>
      </c>
      <c r="B390" s="5"/>
      <c r="C390" s="17" t="str">
        <f t="shared" ca="1" si="1"/>
        <v/>
      </c>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5"/>
      <c r="AI390" s="8"/>
      <c r="AJ390" s="8"/>
      <c r="AK390" s="8"/>
      <c r="AL390" s="8"/>
      <c r="AM390" s="8"/>
      <c r="AN390" s="8"/>
      <c r="AO390" s="8"/>
    </row>
    <row r="391" spans="1:41" hidden="1">
      <c r="A391" s="35" t="s">
        <v>1597</v>
      </c>
      <c r="B391" s="5"/>
      <c r="C391" s="17" t="str">
        <f t="shared" ca="1" si="1"/>
        <v/>
      </c>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5"/>
      <c r="AI391" s="8"/>
      <c r="AJ391" s="8"/>
      <c r="AK391" s="8"/>
      <c r="AL391" s="8"/>
      <c r="AM391" s="8"/>
      <c r="AN391" s="8"/>
      <c r="AO391" s="8"/>
    </row>
    <row r="392" spans="1:41" hidden="1">
      <c r="A392" s="35" t="s">
        <v>1598</v>
      </c>
      <c r="B392" s="5"/>
      <c r="C392" s="17" t="str">
        <f t="shared" ca="1" si="1"/>
        <v/>
      </c>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5"/>
      <c r="AI392" s="8"/>
      <c r="AJ392" s="8"/>
      <c r="AK392" s="8"/>
      <c r="AL392" s="8"/>
      <c r="AM392" s="8"/>
      <c r="AN392" s="8"/>
      <c r="AO392" s="8"/>
    </row>
    <row r="393" spans="1:41" hidden="1">
      <c r="A393" s="35" t="s">
        <v>1599</v>
      </c>
      <c r="B393" s="5"/>
      <c r="C393" s="17" t="str">
        <f t="shared" ca="1" si="1"/>
        <v/>
      </c>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5"/>
      <c r="AI393" s="8"/>
      <c r="AJ393" s="8"/>
      <c r="AK393" s="8"/>
      <c r="AL393" s="8"/>
      <c r="AM393" s="8"/>
      <c r="AN393" s="8"/>
      <c r="AO393" s="8"/>
    </row>
    <row r="394" spans="1:41" hidden="1">
      <c r="A394" s="35" t="s">
        <v>1600</v>
      </c>
      <c r="B394" s="5"/>
      <c r="C394" s="17" t="str">
        <f t="shared" ca="1" si="1"/>
        <v/>
      </c>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5"/>
      <c r="AI394" s="8"/>
      <c r="AJ394" s="8"/>
      <c r="AK394" s="8"/>
      <c r="AL394" s="8"/>
      <c r="AM394" s="8"/>
      <c r="AN394" s="8"/>
      <c r="AO394" s="8"/>
    </row>
    <row r="395" spans="1:41" hidden="1">
      <c r="A395" s="35" t="s">
        <v>1601</v>
      </c>
      <c r="B395" s="5"/>
      <c r="C395" s="17" t="str">
        <f t="shared" ca="1" si="1"/>
        <v/>
      </c>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5"/>
      <c r="AI395" s="8"/>
      <c r="AJ395" s="8"/>
      <c r="AK395" s="8"/>
      <c r="AL395" s="8"/>
      <c r="AM395" s="8"/>
      <c r="AN395" s="8"/>
      <c r="AO395" s="8"/>
    </row>
    <row r="396" spans="1:41" hidden="1">
      <c r="A396" s="35" t="s">
        <v>1602</v>
      </c>
      <c r="B396" s="5"/>
      <c r="C396" s="17" t="str">
        <f t="shared" ca="1" si="1"/>
        <v/>
      </c>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5"/>
      <c r="AI396" s="8"/>
      <c r="AJ396" s="8"/>
      <c r="AK396" s="8"/>
      <c r="AL396" s="8"/>
      <c r="AM396" s="8"/>
      <c r="AN396" s="8"/>
      <c r="AO396" s="8"/>
    </row>
    <row r="397" spans="1:41" hidden="1">
      <c r="A397" s="35" t="s">
        <v>1603</v>
      </c>
      <c r="B397" s="5"/>
      <c r="C397" s="17" t="str">
        <f t="shared" ca="1" si="1"/>
        <v/>
      </c>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5"/>
      <c r="AI397" s="8"/>
      <c r="AJ397" s="8"/>
      <c r="AK397" s="8"/>
      <c r="AL397" s="8"/>
      <c r="AM397" s="8"/>
      <c r="AN397" s="8"/>
      <c r="AO397" s="8"/>
    </row>
    <row r="398" spans="1:41" hidden="1">
      <c r="A398" s="35" t="s">
        <v>1604</v>
      </c>
      <c r="B398" s="5"/>
      <c r="C398" s="17" t="str">
        <f t="shared" ca="1" si="1"/>
        <v/>
      </c>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5"/>
      <c r="AI398" s="8"/>
      <c r="AJ398" s="8"/>
      <c r="AK398" s="8"/>
      <c r="AL398" s="8"/>
      <c r="AM398" s="8"/>
      <c r="AN398" s="8"/>
      <c r="AO398" s="8"/>
    </row>
    <row r="399" spans="1:41" hidden="1">
      <c r="A399" s="35" t="s">
        <v>1605</v>
      </c>
      <c r="B399" s="5"/>
      <c r="C399" s="17" t="str">
        <f t="shared" ca="1" si="1"/>
        <v/>
      </c>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5"/>
      <c r="AI399" s="8"/>
      <c r="AJ399" s="8"/>
      <c r="AK399" s="8"/>
      <c r="AL399" s="8"/>
      <c r="AM399" s="8"/>
      <c r="AN399" s="8"/>
      <c r="AO399" s="8"/>
    </row>
    <row r="400" spans="1:41" hidden="1">
      <c r="A400" s="35" t="s">
        <v>1606</v>
      </c>
      <c r="B400" s="5"/>
      <c r="C400" s="17" t="str">
        <f t="shared" ca="1" si="1"/>
        <v/>
      </c>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5"/>
      <c r="AI400" s="8"/>
      <c r="AJ400" s="8"/>
      <c r="AK400" s="8"/>
      <c r="AL400" s="8"/>
      <c r="AM400" s="8"/>
      <c r="AN400" s="8"/>
      <c r="AO400" s="8"/>
    </row>
  </sheetData>
  <autoFilter ref="A1:AO400" xr:uid="{325F248B-5B5A-4EA2-90C8-48DA023AA97A}">
    <filterColumn colId="17">
      <filters>
        <filter val="Cerrada"/>
      </filters>
    </filterColumn>
  </autoFilter>
  <sortState xmlns:xlrd2="http://schemas.microsoft.com/office/spreadsheetml/2017/richdata2" ref="B2:AO222">
    <sortCondition ref="B2:B222"/>
  </sortState>
  <conditionalFormatting sqref="C2:C400">
    <cfRule type="expression" dxfId="5" priority="6">
      <formula>AND(ISNUMBER($C2),$C2&lt;=30)</formula>
    </cfRule>
  </conditionalFormatting>
  <conditionalFormatting sqref="C2:C400">
    <cfRule type="expression" dxfId="4" priority="5">
      <formula>AND(ISNUMBER($C2),$C2&gt;=31,$C2&lt;=60)</formula>
    </cfRule>
  </conditionalFormatting>
  <conditionalFormatting sqref="C2:C400">
    <cfRule type="expression" dxfId="3" priority="4">
      <formula>AND(ISNUMBER($C2),$C2&gt;=61,$C2&lt;=90)</formula>
    </cfRule>
  </conditionalFormatting>
  <conditionalFormatting sqref="C2:C400">
    <cfRule type="expression" dxfId="2" priority="3">
      <formula>AND(ISNUMBER($C2),$C2&gt;=91)</formula>
    </cfRule>
  </conditionalFormatting>
  <conditionalFormatting sqref="H171">
    <cfRule type="notContainsBlanks" dxfId="1" priority="1">
      <formula>LEN(TRIM(H171))&gt;0</formula>
    </cfRule>
  </conditionalFormatting>
  <conditionalFormatting sqref="A2:A400">
    <cfRule type="duplicateValues" dxfId="0" priority="51"/>
  </conditionalFormatting>
  <dataValidations count="3">
    <dataValidation type="list" allowBlank="1" showInputMessage="1" showErrorMessage="1" sqref="AM2:AN2 AM208:AN215 AM243:AN271 AM218:AN241 AM274:AN311 F2:H400" xr:uid="{BE1C9EA3-F87F-46EF-B894-6F18EE76B437}">
      <formula1>"Si,No"</formula1>
    </dataValidation>
    <dataValidation allowBlank="1" showInputMessage="1" showErrorMessage="1" sqref="X206:X287 X2:X139 X141:X201 X291:X400 I2:I400 AB2:AC400" xr:uid="{419406C0-34B6-447D-A00F-064CE22CD2A6}"/>
    <dataValidation type="list" allowBlank="1" showInputMessage="1" showErrorMessage="1" sqref="AH2:AH400" xr:uid="{4AB4C081-870E-4D3B-986A-4F3EAA9A398C}">
      <formula1>"Externa,Interna,Mixta"</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5">
        <x14:dataValidation type="list" allowBlank="1" showInputMessage="1" showErrorMessage="1" xr:uid="{0FD40EAE-D994-4062-A195-B5499C87236C}">
          <x14:formula1>
            <xm:f>Referencias!$A$2:$A$12</xm:f>
          </x14:formula1>
          <xm:sqref>D39:D40 D48:D107 D42:D46 D29:D37 D2:D27 D109:D400</xm:sqref>
        </x14:dataValidation>
        <x14:dataValidation type="list" allowBlank="1" showInputMessage="1" showErrorMessage="1" xr:uid="{30571875-15BB-41C2-80AD-683ADFC4BD78}">
          <x14:formula1>
            <xm:f>Referencias!$C$2:$C$27</xm:f>
          </x14:formula1>
          <xm:sqref>K206:K213 K155 K103:K104 K146 K2:K19 K44 K59:K60 K77 K100:K101 K198:K199 K241:K256 K289:K294 K279:K284 K286:K287 K114 K217:K239 K269:K271 K258:K267 K297:K400</xm:sqref>
        </x14:dataValidation>
        <x14:dataValidation type="list" allowBlank="1" showInputMessage="1" showErrorMessage="1" xr:uid="{07E7D30B-712F-4E59-A9D3-3FD1EF13F438}">
          <x14:formula1>
            <xm:f>Referencias!$D$2:$D$161</xm:f>
          </x14:formula1>
          <xm:sqref>L2 L198 L174 M206:M207 L194 L199:M199 L24:L25 L37 L46:L47 L50 L53 L55:L57 L61:L62 L66 L68 L70:L71 L74 L82:L86 L100 L104:L105 L107 L109 L118:L119 L122 L133 L140 L149 L151 L153 L161 L163:L167 L191:L192 L244:L255 L270:L271 L277:L284 L259:L268 L206:L242 L286:L287 L291:L400</xm:sqref>
        </x14:dataValidation>
        <x14:dataValidation type="list" allowBlank="1" showInputMessage="1" showErrorMessage="1" xr:uid="{1A21BAF7-C587-437A-A923-3F33D1B63032}">
          <x14:formula1>
            <xm:f>Referencias!$G$2:$G$125</xm:f>
          </x14:formula1>
          <xm:sqref>O50:O51 O163 O124:O130 O2:O13 O104:O105 O116:O117 O114 O45:O47 O272:O276 O53:O54 O191:O194 O37 O63:O67 O223:O225 O71 O74:O75 O24:O25 O82:O83 O110 O161 O108 O112 O121:O122 O148:O149 O151 O60 O22 O135:O139 O199:O208 O170:O171 O153 O155:O158 O17 O145:O146 O233:O242 O214 O175:O188 O32:O33 O88:O101 O42:O43 O77 O28:O29 O197 O216 O246:O251 O257 O259:O260 O288:O290 O285</xm:sqref>
        </x14:dataValidation>
        <x14:dataValidation type="list" allowBlank="1" showInputMessage="1" showErrorMessage="1" xr:uid="{1852AFEE-2141-4306-91C9-0D73D82A216C}">
          <x14:formula1>
            <xm:f>Referencias!$I$2:$I$7</xm:f>
          </x14:formula1>
          <xm:sqref>U197 U134:U137 U160 U163 U168 U186 U209:U215 U183 U217:U241 U2:U131 U243:U245 U278:U279 U282 U284:U287 U296 U291:U294 U254:U270 U298:U311 U313 U315:U317</xm:sqref>
        </x14:dataValidation>
        <x14:dataValidation type="list" allowBlank="1" showInputMessage="1" showErrorMessage="1" xr:uid="{2E1001E6-7C6B-418E-BA9A-FC498AE409EF}">
          <x14:formula1>
            <xm:f>Referencias!$A$2:$A$11</xm:f>
          </x14:formula1>
          <xm:sqref>D47 D41 D38 D28 D108</xm:sqref>
        </x14:dataValidation>
        <x14:dataValidation type="list" allowBlank="1" showInputMessage="1" showErrorMessage="1" xr:uid="{848CFCD5-F510-436A-A2C9-9995A95F61FD}">
          <x14:formula1>
            <xm:f>Referencias!$G$2:$G$300</xm:f>
          </x14:formula1>
          <xm:sqref>O118:O120 O61:O62 O115 O23 O68:O70 O147 O38:O41 O72:O73 O76 O102:O103 O123 O113 O111 O26:O27 O48:O49 O226:O232 O35:O36 O150 O109 O152 O162 O277:O284 O52 O164:O169 O78:O81 O55:O59 O172:O174 O195:O196 O154 O209:O213 O215 O131:O134 O183 O217:O222 O107 O14:O16 O30:O31 O18:O20 O44 O159:O160 O84:O87 O140:O144 O243:O245 O252:O256 O258 O189:O190 O286:O287 O261:O271 O291:O400</xm:sqref>
        </x14:dataValidation>
        <x14:dataValidation type="list" allowBlank="1" showInputMessage="1" showErrorMessage="1" xr:uid="{7173E375-7CAA-4B4B-91E4-145119A810C6}">
          <x14:formula1>
            <xm:f>Referencias!$E$2:$E$74</xm:f>
          </x14:formula1>
          <xm:sqref>M2:M14 M198 M208:M209 M174 M194 L256 M118:M119 M133 M161 M277:M284 M86 M211:M242 M244:M256 M259:M271 M191:M192 M286:M287 M291:M400</xm:sqref>
        </x14:dataValidation>
        <x14:dataValidation type="list" allowBlank="1" showInputMessage="1" showErrorMessage="1" xr:uid="{3B81C6F5-57D2-43AF-BBD6-705F972889FA}">
          <x14:formula1>
            <xm:f>Referencias!$B$2:$B$16</xm:f>
          </x14:formula1>
          <xm:sqref>J2:J77 J79:J400</xm:sqref>
        </x14:dataValidation>
        <x14:dataValidation type="list" allowBlank="1" showInputMessage="1" showErrorMessage="1" xr:uid="{6CD70320-E357-44A6-96C5-3F680C70F88B}">
          <x14:formula1>
            <xm:f>Referencias!$L$2:$L$9</xm:f>
          </x14:formula1>
          <xm:sqref>Z193 Z2:Z191 Z195:Z246 Z254:Z298</xm:sqref>
        </x14:dataValidation>
        <x14:dataValidation type="list" allowBlank="1" showInputMessage="1" showErrorMessage="1" xr:uid="{7EA61090-6BBB-49D3-9636-5A45BF271470}">
          <x14:formula1>
            <xm:f>Referencias!$G$2:$G$200</xm:f>
          </x14:formula1>
          <xm:sqref>O21 O34 O106 O198</xm:sqref>
        </x14:dataValidation>
        <x14:dataValidation type="list" allowBlank="1" showInputMessage="1" showErrorMessage="1" xr:uid="{888942CE-4489-4AAB-9AC5-6E674EAB98B3}">
          <x14:formula1>
            <xm:f>Referencias!$F$2:$F$17</xm:f>
          </x14:formula1>
          <xm:sqref>N68:N72 N196:N197 N55 N133:N134 N208:N210 N124 N41 N152 N187 N25:N29 N111 N52 N213:N216 N224:N232 N199 N76:N91 N150 N17 N140:N144 N43:N49 N37:N38 N57 N218 N100 N159:N168 N32:N34 N115:N119 N170:N172 N97 N147:N148 N66 N19:N23 N60:N64 N113 N277:N283 N155:N157 N185 N103:N109 N128 N121 N189:N192 N261:N271 N240:N256 N286:N287 N291:N400</xm:sqref>
        </x14:dataValidation>
        <x14:dataValidation type="list" allowBlank="1" showInputMessage="1" showErrorMessage="1" xr:uid="{BF24E846-9817-4F77-8393-F6F5B6D6915B}">
          <x14:formula1>
            <xm:f>Referencias!$F$2:$F$30</xm:f>
          </x14:formula1>
          <xm:sqref>N56 N24 N129:N132 N53:N54 N219:N223 N65 N74 N217 N110 N39 N182:N184 N149 N151 N135:N139 N211:N212 N186 N50:N51 N125:N127 N122 N18 N92:N96 N153 N233:N239 N158 N198 N206:N207 N195 N14:N16 N35:N36 N112 N114 N193 N188 N284:N285 N257 N259:N260</xm:sqref>
        </x14:dataValidation>
        <x14:dataValidation type="list" allowBlank="1" showInputMessage="1" showErrorMessage="1" xr:uid="{CBA682E0-A020-49C1-BE53-2CFDCDE70AD0}">
          <x14:formula1>
            <xm:f>Referencias!$F$2:$F$50</xm:f>
          </x14:formula1>
          <xm:sqref>N58 N40 N42 N73 N75 N98:N99 N123 N145 N169 N173:N180 N101:N102 N154 N2:N13 N200:N205 N288:N290 N272:N276</xm:sqref>
        </x14:dataValidation>
        <x14:dataValidation type="list" allowBlank="1" showInputMessage="1" showErrorMessage="1" xr:uid="{C7AD649B-3E4C-44AA-9B13-BBE72F115F3B}">
          <x14:formula1>
            <xm:f>Referencias!$F$2:$F$40</xm:f>
          </x14:formula1>
          <xm:sqref>N146 N181 N59 N67 N120 N258</xm:sqref>
        </x14:dataValidation>
        <x14:dataValidation type="list" allowBlank="1" showInputMessage="1" showErrorMessage="1" xr:uid="{63F508F3-1373-44DB-BBDF-3A74A6E00A7F}">
          <x14:formula1>
            <xm:f>Referencias!$F$2:$F$60</xm:f>
          </x14:formula1>
          <xm:sqref>N30:N31</xm:sqref>
        </x14:dataValidation>
        <x14:dataValidation type="list" allowBlank="1" showInputMessage="1" showErrorMessage="1" xr:uid="{374C8CA3-3B00-4031-8101-022FFD3A61C5}">
          <x14:formula1>
            <xm:f>Referencias!$J$2:$J$7</xm:f>
          </x14:formula1>
          <xm:sqref>V296 V2:V190 V192:V270 V272:V276 V279:V294 V298:V400</xm:sqref>
        </x14:dataValidation>
        <x14:dataValidation type="list" allowBlank="1" showInputMessage="1" showErrorMessage="1" xr:uid="{5DB97966-A4D9-40D0-A2C8-8581F24ACECF}">
          <x14:formula1>
            <xm:f>Referencias!$L$2:$L$30</xm:f>
          </x14:formula1>
          <xm:sqref>Z247:Z253 Z299:Z400</xm:sqref>
        </x14:dataValidation>
        <x14:dataValidation type="list" allowBlank="1" showInputMessage="1" showErrorMessage="1" xr:uid="{46237520-9963-40E3-9A98-D963FC2B04FA}">
          <x14:formula1>
            <xm:f>Referencias!$D$2:$D$300</xm:f>
          </x14:formula1>
          <xm:sqref>L269</xm:sqref>
        </x14:dataValidation>
        <x14:dataValidation type="list" allowBlank="1" showInputMessage="1" showErrorMessage="1" xr:uid="{56298C81-3AA2-442B-AC18-486204BCEE76}">
          <x14:formula1>
            <xm:f>Referencias!$K$2:$K$7</xm:f>
          </x14:formula1>
          <xm:sqref>W2:W400</xm:sqref>
        </x14:dataValidation>
        <x14:dataValidation type="list" allowBlank="1" showInputMessage="1" showErrorMessage="1" xr:uid="{F6BB8E23-BEA8-49EE-B1D2-EDE609E0E39E}">
          <x14:formula1>
            <xm:f>Referencias!$M$2:$M$7</xm:f>
          </x14:formula1>
          <xm:sqref>AA2:AA400</xm:sqref>
        </x14:dataValidation>
        <x14:dataValidation type="list" allowBlank="1" showInputMessage="1" showErrorMessage="1" xr:uid="{8C7FB5CB-FE03-48DC-BC41-0EB724E07EC3}">
          <x14:formula1>
            <xm:f>Referencias!$O$2:$O$10</xm:f>
          </x14:formula1>
          <xm:sqref>AI2:AI400</xm:sqref>
        </x14:dataValidation>
        <x14:dataValidation type="list" allowBlank="1" showInputMessage="1" showErrorMessage="1" xr:uid="{4167B381-5E31-4ECC-9C3A-A1F11CDA8871}">
          <x14:formula1>
            <xm:f>Referencias!$Q$2:$Q$9</xm:f>
          </x14:formula1>
          <xm:sqref>E2:E400</xm:sqref>
        </x14:dataValidation>
        <x14:dataValidation type="list" allowBlank="1" showInputMessage="1" showErrorMessage="1" xr:uid="{A00C72F7-6D28-4923-AF14-A42D52B67EA5}">
          <x14:formula1>
            <xm:f>Referencias!$P$2:$P$9</xm:f>
          </x14:formula1>
          <xm:sqref>R2:R400</xm:sqref>
        </x14:dataValidation>
        <x14:dataValidation type="list" allowBlank="1" showInputMessage="1" showErrorMessage="1" xr:uid="{5B7ADC06-48EC-4C24-9D01-DE66B6D7E3E0}">
          <x14:formula1>
            <xm:f>Referencias!$H$3:$H$30</xm:f>
          </x14:formula1>
          <xm:sqref>S142:S151 S313 S315:S400 S198:S206 S188:S196 S2:S140 S168 S173:S184 S161 S163:S166 S157:S159 S153:S155 S170:S171 S208:S311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E656E-9E30-41DD-80A2-26C3AF6FD09F}">
  <dimension ref="A1:J64"/>
  <sheetViews>
    <sheetView topLeftCell="A44" workbookViewId="0">
      <selection activeCell="D64" sqref="D64"/>
    </sheetView>
  </sheetViews>
  <sheetFormatPr defaultRowHeight="15"/>
  <cols>
    <col min="1" max="1" width="27" bestFit="1" customWidth="1"/>
    <col min="2" max="2" width="16.7109375" bestFit="1" customWidth="1"/>
    <col min="3" max="3" width="20.42578125" bestFit="1" customWidth="1"/>
    <col min="4" max="4" width="12.5703125" bestFit="1" customWidth="1"/>
    <col min="5" max="5" width="15" bestFit="1" customWidth="1"/>
    <col min="6" max="6" width="22" bestFit="1" customWidth="1"/>
    <col min="7" max="7" width="11.85546875" bestFit="1" customWidth="1"/>
    <col min="8" max="8" width="24.140625" bestFit="1" customWidth="1"/>
    <col min="9" max="9" width="17.85546875" bestFit="1" customWidth="1"/>
    <col min="10" max="15" width="12.5703125" bestFit="1" customWidth="1"/>
  </cols>
  <sheetData>
    <row r="1" spans="1:10">
      <c r="A1" s="15" t="s">
        <v>9</v>
      </c>
      <c r="B1" t="s">
        <v>1607</v>
      </c>
    </row>
    <row r="2" spans="1:10">
      <c r="A2" s="15" t="s">
        <v>18</v>
      </c>
      <c r="B2" t="s">
        <v>1608</v>
      </c>
    </row>
    <row r="3" spans="1:10">
      <c r="A3" s="15" t="s">
        <v>17</v>
      </c>
      <c r="B3" t="s">
        <v>1607</v>
      </c>
    </row>
    <row r="5" spans="1:10">
      <c r="A5" t="s">
        <v>1609</v>
      </c>
    </row>
    <row r="6" spans="1:10">
      <c r="A6" s="20">
        <v>73</v>
      </c>
    </row>
    <row r="10" spans="1:10">
      <c r="A10" s="15" t="s">
        <v>17</v>
      </c>
      <c r="B10" t="s">
        <v>1607</v>
      </c>
    </row>
    <row r="12" spans="1:10">
      <c r="A12" s="15" t="s">
        <v>1609</v>
      </c>
      <c r="B12" s="15" t="s">
        <v>18</v>
      </c>
    </row>
    <row r="13" spans="1:10">
      <c r="A13" s="15" t="s">
        <v>9</v>
      </c>
      <c r="B13" t="s">
        <v>1341</v>
      </c>
      <c r="C13" t="s">
        <v>1426</v>
      </c>
      <c r="D13" t="s">
        <v>725</v>
      </c>
      <c r="E13" t="s">
        <v>744</v>
      </c>
      <c r="F13" t="s">
        <v>1291</v>
      </c>
      <c r="G13" t="s">
        <v>854</v>
      </c>
      <c r="H13" t="s">
        <v>739</v>
      </c>
      <c r="I13" t="s">
        <v>958</v>
      </c>
      <c r="J13" t="s">
        <v>1610</v>
      </c>
    </row>
    <row r="14" spans="1:10">
      <c r="A14" t="s">
        <v>145</v>
      </c>
      <c r="B14" s="16">
        <v>3</v>
      </c>
      <c r="C14" s="16"/>
      <c r="D14" s="16">
        <v>6</v>
      </c>
      <c r="E14" s="16">
        <v>7</v>
      </c>
      <c r="F14" s="16">
        <v>3</v>
      </c>
      <c r="G14" s="16">
        <v>9</v>
      </c>
      <c r="H14" s="16"/>
      <c r="I14" s="16">
        <v>7</v>
      </c>
      <c r="J14" s="16">
        <v>35</v>
      </c>
    </row>
    <row r="15" spans="1:10">
      <c r="A15" t="s">
        <v>45</v>
      </c>
      <c r="B15" s="16"/>
      <c r="C15" s="16"/>
      <c r="D15" s="16">
        <v>3</v>
      </c>
      <c r="E15" s="16">
        <v>12</v>
      </c>
      <c r="F15" s="16">
        <v>6</v>
      </c>
      <c r="G15" s="16"/>
      <c r="H15" s="16">
        <v>1</v>
      </c>
      <c r="I15" s="16"/>
      <c r="J15" s="16">
        <v>22</v>
      </c>
    </row>
    <row r="16" spans="1:10">
      <c r="A16" t="s">
        <v>180</v>
      </c>
      <c r="B16" s="16"/>
      <c r="C16" s="16"/>
      <c r="D16" s="16">
        <v>2</v>
      </c>
      <c r="E16" s="16">
        <v>1</v>
      </c>
      <c r="F16" s="16"/>
      <c r="G16" s="16"/>
      <c r="H16" s="16">
        <v>5</v>
      </c>
      <c r="I16" s="16"/>
      <c r="J16" s="16">
        <v>8</v>
      </c>
    </row>
    <row r="17" spans="1:10">
      <c r="A17" t="s">
        <v>190</v>
      </c>
      <c r="B17" s="16"/>
      <c r="C17" s="16">
        <v>1</v>
      </c>
      <c r="D17" s="16">
        <v>3</v>
      </c>
      <c r="E17" s="16"/>
      <c r="F17" s="16"/>
      <c r="G17" s="16"/>
      <c r="H17" s="16"/>
      <c r="I17" s="16">
        <v>2</v>
      </c>
      <c r="J17" s="16">
        <v>6</v>
      </c>
    </row>
    <row r="18" spans="1:10">
      <c r="A18" t="s">
        <v>320</v>
      </c>
      <c r="B18" s="16">
        <v>1</v>
      </c>
      <c r="C18" s="16"/>
      <c r="D18" s="16"/>
      <c r="E18" s="16"/>
      <c r="F18" s="16">
        <v>1</v>
      </c>
      <c r="G18" s="16"/>
      <c r="H18" s="16"/>
      <c r="I18" s="16"/>
      <c r="J18" s="16">
        <v>2</v>
      </c>
    </row>
    <row r="19" spans="1:10">
      <c r="A19" t="s">
        <v>1610</v>
      </c>
      <c r="B19" s="16">
        <v>4</v>
      </c>
      <c r="C19" s="16">
        <v>1</v>
      </c>
      <c r="D19" s="16">
        <v>14</v>
      </c>
      <c r="E19" s="16">
        <v>20</v>
      </c>
      <c r="F19" s="16">
        <v>10</v>
      </c>
      <c r="G19" s="16">
        <v>9</v>
      </c>
      <c r="H19" s="16">
        <v>6</v>
      </c>
      <c r="I19" s="16">
        <v>9</v>
      </c>
      <c r="J19" s="16">
        <v>73</v>
      </c>
    </row>
    <row r="23" spans="1:10">
      <c r="A23" s="15" t="s">
        <v>18</v>
      </c>
      <c r="B23" t="s">
        <v>1607</v>
      </c>
    </row>
    <row r="24" spans="1:10">
      <c r="A24" s="15" t="s">
        <v>17</v>
      </c>
      <c r="B24" t="s">
        <v>1607</v>
      </c>
    </row>
    <row r="26" spans="1:10">
      <c r="A26" s="15" t="s">
        <v>9</v>
      </c>
      <c r="B26" t="s">
        <v>1609</v>
      </c>
    </row>
    <row r="27" spans="1:10">
      <c r="A27" t="s">
        <v>145</v>
      </c>
      <c r="B27" s="16">
        <v>28</v>
      </c>
    </row>
    <row r="28" spans="1:10">
      <c r="A28" t="s">
        <v>45</v>
      </c>
      <c r="B28" s="16">
        <v>22</v>
      </c>
    </row>
    <row r="29" spans="1:10">
      <c r="A29" t="s">
        <v>180</v>
      </c>
      <c r="B29" s="16">
        <v>8</v>
      </c>
    </row>
    <row r="30" spans="1:10">
      <c r="A30" t="s">
        <v>190</v>
      </c>
      <c r="B30" s="16">
        <v>4</v>
      </c>
    </row>
    <row r="31" spans="1:10">
      <c r="A31" t="s">
        <v>320</v>
      </c>
      <c r="B31" s="16">
        <v>2</v>
      </c>
    </row>
    <row r="32" spans="1:10">
      <c r="A32" t="s">
        <v>1610</v>
      </c>
      <c r="B32" s="16">
        <v>64</v>
      </c>
    </row>
    <row r="37" spans="1:4">
      <c r="A37" s="15" t="s">
        <v>18</v>
      </c>
      <c r="B37" t="s">
        <v>1608</v>
      </c>
    </row>
    <row r="39" spans="1:4">
      <c r="A39" s="15" t="s">
        <v>1609</v>
      </c>
      <c r="B39" s="15" t="s">
        <v>17</v>
      </c>
    </row>
    <row r="40" spans="1:4">
      <c r="A40" s="15" t="s">
        <v>3</v>
      </c>
      <c r="B40" t="s">
        <v>724</v>
      </c>
      <c r="C40" t="s">
        <v>743</v>
      </c>
      <c r="D40" t="s">
        <v>1610</v>
      </c>
    </row>
    <row r="41" spans="1:4">
      <c r="A41" t="s">
        <v>144</v>
      </c>
      <c r="B41" s="16">
        <v>22</v>
      </c>
      <c r="C41" s="16">
        <v>13</v>
      </c>
      <c r="D41" s="16">
        <v>35</v>
      </c>
    </row>
    <row r="42" spans="1:4">
      <c r="A42" t="s">
        <v>42</v>
      </c>
      <c r="B42" s="16">
        <v>13</v>
      </c>
      <c r="C42" s="16">
        <v>13</v>
      </c>
      <c r="D42" s="16">
        <v>26</v>
      </c>
    </row>
    <row r="43" spans="1:4">
      <c r="A43" t="s">
        <v>104</v>
      </c>
      <c r="B43" s="16">
        <v>7</v>
      </c>
      <c r="C43" s="16">
        <v>4</v>
      </c>
      <c r="D43" s="16">
        <v>11</v>
      </c>
    </row>
    <row r="44" spans="1:4">
      <c r="A44" t="s">
        <v>467</v>
      </c>
      <c r="B44" s="16">
        <v>7</v>
      </c>
      <c r="C44" s="16">
        <v>1</v>
      </c>
      <c r="D44" s="16">
        <v>8</v>
      </c>
    </row>
    <row r="45" spans="1:4">
      <c r="A45" t="s">
        <v>1610</v>
      </c>
      <c r="B45" s="16">
        <v>49</v>
      </c>
      <c r="C45" s="16">
        <v>31</v>
      </c>
      <c r="D45" s="16">
        <v>80</v>
      </c>
    </row>
    <row r="48" spans="1:4">
      <c r="A48" s="15" t="s">
        <v>18</v>
      </c>
      <c r="B48" t="s">
        <v>1608</v>
      </c>
    </row>
    <row r="49" spans="1:4">
      <c r="A49" s="15" t="s">
        <v>9</v>
      </c>
      <c r="B49" t="s">
        <v>1608</v>
      </c>
    </row>
    <row r="51" spans="1:4">
      <c r="A51" s="15" t="s">
        <v>1609</v>
      </c>
      <c r="B51" s="15" t="s">
        <v>17</v>
      </c>
    </row>
    <row r="52" spans="1:4">
      <c r="A52" s="15" t="s">
        <v>13</v>
      </c>
      <c r="B52" t="s">
        <v>724</v>
      </c>
      <c r="C52" t="s">
        <v>743</v>
      </c>
      <c r="D52" t="s">
        <v>1610</v>
      </c>
    </row>
    <row r="53" spans="1:4">
      <c r="A53" t="s">
        <v>49</v>
      </c>
      <c r="B53" s="16">
        <v>8</v>
      </c>
      <c r="C53" s="16">
        <v>12</v>
      </c>
      <c r="D53" s="16">
        <v>20</v>
      </c>
    </row>
    <row r="54" spans="1:4">
      <c r="A54" t="s">
        <v>223</v>
      </c>
      <c r="B54" s="16">
        <v>13</v>
      </c>
      <c r="C54" s="16">
        <v>6</v>
      </c>
      <c r="D54" s="16">
        <v>19</v>
      </c>
    </row>
    <row r="55" spans="1:4">
      <c r="A55" t="s">
        <v>108</v>
      </c>
      <c r="B55" s="16">
        <v>7</v>
      </c>
      <c r="C55" s="16">
        <v>1</v>
      </c>
      <c r="D55" s="16">
        <v>8</v>
      </c>
    </row>
    <row r="56" spans="1:4">
      <c r="A56" t="s">
        <v>200</v>
      </c>
      <c r="B56" s="16">
        <v>4</v>
      </c>
      <c r="C56" s="16">
        <v>4</v>
      </c>
      <c r="D56" s="16">
        <v>8</v>
      </c>
    </row>
    <row r="57" spans="1:4">
      <c r="A57" t="s">
        <v>213</v>
      </c>
      <c r="B57" s="16">
        <v>4</v>
      </c>
      <c r="C57" s="16">
        <v>4</v>
      </c>
      <c r="D57" s="16">
        <v>8</v>
      </c>
    </row>
    <row r="58" spans="1:4">
      <c r="A58" t="s">
        <v>170</v>
      </c>
      <c r="B58" s="16">
        <v>4</v>
      </c>
      <c r="C58" s="16"/>
      <c r="D58" s="16">
        <v>4</v>
      </c>
    </row>
    <row r="59" spans="1:4">
      <c r="A59" t="s">
        <v>238</v>
      </c>
      <c r="B59" s="16">
        <v>2</v>
      </c>
      <c r="C59" s="16">
        <v>1</v>
      </c>
      <c r="D59" s="16">
        <v>3</v>
      </c>
    </row>
    <row r="60" spans="1:4">
      <c r="A60" t="s">
        <v>409</v>
      </c>
      <c r="B60" s="16">
        <v>2</v>
      </c>
      <c r="C60" s="16">
        <v>1</v>
      </c>
      <c r="D60" s="16">
        <v>3</v>
      </c>
    </row>
    <row r="61" spans="1:4">
      <c r="A61" t="s">
        <v>149</v>
      </c>
      <c r="B61" s="16">
        <v>1</v>
      </c>
      <c r="C61" s="16">
        <v>2</v>
      </c>
      <c r="D61" s="16">
        <v>3</v>
      </c>
    </row>
    <row r="62" spans="1:4">
      <c r="A62" t="s">
        <v>469</v>
      </c>
      <c r="B62" s="16">
        <v>2</v>
      </c>
      <c r="C62" s="16"/>
      <c r="D62" s="16">
        <v>2</v>
      </c>
    </row>
    <row r="63" spans="1:4">
      <c r="A63" t="s">
        <v>271</v>
      </c>
      <c r="B63" s="16">
        <v>2</v>
      </c>
      <c r="C63" s="16"/>
      <c r="D63" s="16">
        <v>2</v>
      </c>
    </row>
    <row r="64" spans="1:4">
      <c r="A64" t="s">
        <v>1610</v>
      </c>
      <c r="B64" s="16">
        <v>49</v>
      </c>
      <c r="C64" s="16">
        <v>31</v>
      </c>
      <c r="D64" s="16">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D5289-94EC-4A46-9A90-E4ECBB50EFD1}">
  <dimension ref="A1:Q170"/>
  <sheetViews>
    <sheetView topLeftCell="D1" zoomScale="70" zoomScaleNormal="70" workbookViewId="0">
      <selection activeCell="H1" sqref="H1"/>
    </sheetView>
  </sheetViews>
  <sheetFormatPr defaultColWidth="11.42578125" defaultRowHeight="15"/>
  <cols>
    <col min="2" max="2" width="29" bestFit="1" customWidth="1"/>
    <col min="3" max="3" width="48.42578125" bestFit="1" customWidth="1"/>
    <col min="4" max="6" width="48.42578125" customWidth="1"/>
    <col min="7" max="7" width="50.7109375" bestFit="1" customWidth="1"/>
    <col min="8" max="8" width="27.7109375" bestFit="1" customWidth="1"/>
    <col min="11" max="11" width="17.85546875" bestFit="1" customWidth="1"/>
    <col min="12" max="12" width="21.85546875" bestFit="1" customWidth="1"/>
    <col min="13" max="13" width="22.5703125" bestFit="1" customWidth="1"/>
    <col min="14" max="14" width="15.5703125" bestFit="1" customWidth="1"/>
    <col min="15" max="15" width="18.5703125" bestFit="1" customWidth="1"/>
    <col min="16" max="16" width="22.85546875" bestFit="1" customWidth="1"/>
    <col min="17" max="17" width="19.85546875" bestFit="1" customWidth="1"/>
  </cols>
  <sheetData>
    <row r="1" spans="1:17">
      <c r="A1" s="1" t="s">
        <v>3</v>
      </c>
      <c r="B1" s="2" t="s">
        <v>1611</v>
      </c>
      <c r="C1" s="2" t="s">
        <v>10</v>
      </c>
      <c r="D1" s="2" t="s">
        <v>11</v>
      </c>
      <c r="E1" s="2" t="s">
        <v>1612</v>
      </c>
      <c r="F1" s="2" t="s">
        <v>1613</v>
      </c>
      <c r="G1" s="2" t="s">
        <v>1614</v>
      </c>
      <c r="H1" s="2" t="s">
        <v>1615</v>
      </c>
      <c r="I1" s="2" t="s">
        <v>20</v>
      </c>
      <c r="J1" s="2" t="s">
        <v>21</v>
      </c>
      <c r="K1" s="2" t="s">
        <v>1616</v>
      </c>
      <c r="L1" s="1" t="s">
        <v>1617</v>
      </c>
      <c r="M1" s="1" t="s">
        <v>1618</v>
      </c>
      <c r="N1" s="1" t="s">
        <v>30</v>
      </c>
      <c r="O1" s="1" t="s">
        <v>34</v>
      </c>
      <c r="P1" s="1" t="s">
        <v>1619</v>
      </c>
      <c r="Q1" s="1" t="s">
        <v>1620</v>
      </c>
    </row>
    <row r="2" spans="1:17">
      <c r="A2" t="s">
        <v>42</v>
      </c>
      <c r="B2" t="s">
        <v>145</v>
      </c>
      <c r="C2" t="s">
        <v>1133</v>
      </c>
      <c r="D2" t="s">
        <v>222</v>
      </c>
      <c r="E2" t="s">
        <v>766</v>
      </c>
      <c r="F2" t="s">
        <v>223</v>
      </c>
      <c r="G2" t="s">
        <v>1359</v>
      </c>
      <c r="H2" t="s">
        <v>1341</v>
      </c>
      <c r="I2" t="s">
        <v>472</v>
      </c>
      <c r="J2" t="s">
        <v>472</v>
      </c>
      <c r="K2" t="s">
        <v>63</v>
      </c>
      <c r="L2" t="s">
        <v>275</v>
      </c>
      <c r="M2" t="s">
        <v>474</v>
      </c>
      <c r="O2" t="s">
        <v>515</v>
      </c>
      <c r="P2" t="s">
        <v>724</v>
      </c>
      <c r="Q2" t="s">
        <v>1480</v>
      </c>
    </row>
    <row r="3" spans="1:17">
      <c r="A3" t="s">
        <v>144</v>
      </c>
      <c r="B3" t="s">
        <v>729</v>
      </c>
      <c r="C3" t="s">
        <v>1621</v>
      </c>
      <c r="D3" t="s">
        <v>1207</v>
      </c>
      <c r="E3" t="s">
        <v>1622</v>
      </c>
      <c r="F3" t="s">
        <v>149</v>
      </c>
      <c r="G3" t="s">
        <v>1294</v>
      </c>
      <c r="H3" t="s">
        <v>1426</v>
      </c>
      <c r="I3" t="s">
        <v>760</v>
      </c>
      <c r="J3" t="s">
        <v>139</v>
      </c>
      <c r="K3" t="s">
        <v>54</v>
      </c>
      <c r="L3" t="s">
        <v>941</v>
      </c>
      <c r="M3" t="s">
        <v>152</v>
      </c>
      <c r="O3" t="s">
        <v>762</v>
      </c>
      <c r="P3" t="s">
        <v>743</v>
      </c>
      <c r="Q3" t="s">
        <v>1623</v>
      </c>
    </row>
    <row r="4" spans="1:17">
      <c r="A4" t="s">
        <v>104</v>
      </c>
      <c r="B4" t="s">
        <v>45</v>
      </c>
      <c r="C4" t="s">
        <v>1624</v>
      </c>
      <c r="D4" t="s">
        <v>1196</v>
      </c>
      <c r="E4" t="s">
        <v>1153</v>
      </c>
      <c r="F4" t="s">
        <v>213</v>
      </c>
      <c r="G4" t="s">
        <v>1344</v>
      </c>
      <c r="H4" t="s">
        <v>1291</v>
      </c>
      <c r="I4" t="s">
        <v>69</v>
      </c>
      <c r="J4" t="s">
        <v>70</v>
      </c>
      <c r="L4" t="s">
        <v>1473</v>
      </c>
      <c r="M4" t="s">
        <v>173</v>
      </c>
      <c r="O4" t="s">
        <v>1127</v>
      </c>
      <c r="P4" t="s">
        <v>52</v>
      </c>
      <c r="Q4" t="s">
        <v>43</v>
      </c>
    </row>
    <row r="5" spans="1:17">
      <c r="A5" t="s">
        <v>235</v>
      </c>
      <c r="B5" t="s">
        <v>180</v>
      </c>
      <c r="C5" t="s">
        <v>46</v>
      </c>
      <c r="D5" t="s">
        <v>1339</v>
      </c>
      <c r="E5" t="s">
        <v>909</v>
      </c>
      <c r="F5" t="s">
        <v>238</v>
      </c>
      <c r="G5" t="s">
        <v>150</v>
      </c>
      <c r="H5" t="s">
        <v>958</v>
      </c>
      <c r="I5" t="s">
        <v>1149</v>
      </c>
      <c r="J5" t="s">
        <v>1149</v>
      </c>
      <c r="L5" t="s">
        <v>1354</v>
      </c>
      <c r="O5" t="s">
        <v>1625</v>
      </c>
      <c r="P5" t="s">
        <v>754</v>
      </c>
      <c r="Q5" t="s">
        <v>1040</v>
      </c>
    </row>
    <row r="6" spans="1:17">
      <c r="A6" t="s">
        <v>467</v>
      </c>
      <c r="B6" t="s">
        <v>190</v>
      </c>
      <c r="C6" t="s">
        <v>1182</v>
      </c>
      <c r="D6" t="s">
        <v>664</v>
      </c>
      <c r="E6" t="s">
        <v>1221</v>
      </c>
      <c r="F6" t="s">
        <v>170</v>
      </c>
      <c r="G6" t="s">
        <v>201</v>
      </c>
      <c r="H6" t="s">
        <v>725</v>
      </c>
      <c r="L6" t="s">
        <v>1427</v>
      </c>
      <c r="O6" t="s">
        <v>1362</v>
      </c>
      <c r="P6" t="s">
        <v>132</v>
      </c>
      <c r="Q6" t="s">
        <v>132</v>
      </c>
    </row>
    <row r="7" spans="1:17">
      <c r="A7" t="s">
        <v>1626</v>
      </c>
      <c r="B7" t="s">
        <v>105</v>
      </c>
      <c r="C7" t="s">
        <v>1627</v>
      </c>
      <c r="D7" t="s">
        <v>1140</v>
      </c>
      <c r="E7" t="s">
        <v>249</v>
      </c>
      <c r="F7" t="s">
        <v>271</v>
      </c>
      <c r="G7" t="s">
        <v>50</v>
      </c>
      <c r="H7" t="s">
        <v>739</v>
      </c>
      <c r="L7" t="s">
        <v>1144</v>
      </c>
      <c r="O7" t="s">
        <v>901</v>
      </c>
      <c r="P7" t="s">
        <v>1628</v>
      </c>
    </row>
    <row r="8" spans="1:17">
      <c r="B8" t="s">
        <v>1629</v>
      </c>
      <c r="C8" t="s">
        <v>91</v>
      </c>
      <c r="D8" t="s">
        <v>47</v>
      </c>
      <c r="E8" t="s">
        <v>48</v>
      </c>
      <c r="F8" t="s">
        <v>200</v>
      </c>
      <c r="G8" t="s">
        <v>1630</v>
      </c>
      <c r="H8" t="s">
        <v>744</v>
      </c>
      <c r="L8" t="s">
        <v>1267</v>
      </c>
      <c r="O8" t="s">
        <v>74</v>
      </c>
    </row>
    <row r="9" spans="1:17">
      <c r="B9" t="s">
        <v>320</v>
      </c>
      <c r="C9" t="s">
        <v>1463</v>
      </c>
      <c r="D9" t="s">
        <v>1631</v>
      </c>
      <c r="E9" t="s">
        <v>1632</v>
      </c>
      <c r="F9" t="s">
        <v>409</v>
      </c>
      <c r="G9" t="s">
        <v>1633</v>
      </c>
      <c r="H9" t="s">
        <v>1634</v>
      </c>
      <c r="L9" t="s">
        <v>965</v>
      </c>
    </row>
    <row r="10" spans="1:17">
      <c r="B10" t="s">
        <v>246</v>
      </c>
      <c r="C10" t="s">
        <v>1635</v>
      </c>
      <c r="D10" t="s">
        <v>122</v>
      </c>
      <c r="E10" t="s">
        <v>1498</v>
      </c>
      <c r="F10" t="s">
        <v>49</v>
      </c>
      <c r="G10" t="s">
        <v>1461</v>
      </c>
      <c r="H10" t="s">
        <v>1636</v>
      </c>
      <c r="L10" t="s">
        <v>1066</v>
      </c>
    </row>
    <row r="11" spans="1:17">
      <c r="B11" t="s">
        <v>1471</v>
      </c>
      <c r="C11" t="s">
        <v>1637</v>
      </c>
      <c r="D11" t="s">
        <v>1638</v>
      </c>
      <c r="E11" t="s">
        <v>1639</v>
      </c>
      <c r="F11" t="s">
        <v>469</v>
      </c>
      <c r="G11" t="s">
        <v>1640</v>
      </c>
      <c r="H11" t="s">
        <v>1641</v>
      </c>
      <c r="L11" t="s">
        <v>1455</v>
      </c>
    </row>
    <row r="12" spans="1:17">
      <c r="C12" t="s">
        <v>1642</v>
      </c>
      <c r="D12" t="s">
        <v>1220</v>
      </c>
      <c r="E12" t="s">
        <v>1487</v>
      </c>
      <c r="F12" t="s">
        <v>283</v>
      </c>
      <c r="G12" t="s">
        <v>349</v>
      </c>
      <c r="H12" t="s">
        <v>854</v>
      </c>
    </row>
    <row r="13" spans="1:17">
      <c r="C13" t="s">
        <v>1643</v>
      </c>
      <c r="D13" t="s">
        <v>1644</v>
      </c>
      <c r="E13" t="s">
        <v>1645</v>
      </c>
      <c r="F13" t="s">
        <v>108</v>
      </c>
      <c r="G13" t="s">
        <v>1646</v>
      </c>
      <c r="H13" t="s">
        <v>53</v>
      </c>
    </row>
    <row r="14" spans="1:17">
      <c r="C14" t="s">
        <v>1647</v>
      </c>
      <c r="D14" t="s">
        <v>48</v>
      </c>
      <c r="E14" t="s">
        <v>1197</v>
      </c>
      <c r="G14" t="s">
        <v>1648</v>
      </c>
      <c r="H14" t="s">
        <v>754</v>
      </c>
    </row>
    <row r="15" spans="1:17">
      <c r="C15" t="s">
        <v>1429</v>
      </c>
      <c r="D15" t="s">
        <v>1649</v>
      </c>
      <c r="E15" t="s">
        <v>1649</v>
      </c>
      <c r="G15" t="s">
        <v>1340</v>
      </c>
      <c r="H15" t="s">
        <v>132</v>
      </c>
    </row>
    <row r="16" spans="1:17">
      <c r="C16" t="s">
        <v>1650</v>
      </c>
      <c r="D16" t="s">
        <v>1651</v>
      </c>
      <c r="E16" t="s">
        <v>1652</v>
      </c>
      <c r="G16" t="s">
        <v>564</v>
      </c>
      <c r="H16" t="s">
        <v>1341</v>
      </c>
    </row>
    <row r="17" spans="3:8">
      <c r="C17" t="s">
        <v>1653</v>
      </c>
      <c r="D17" t="s">
        <v>134</v>
      </c>
      <c r="E17" t="s">
        <v>259</v>
      </c>
      <c r="G17" t="s">
        <v>1654</v>
      </c>
      <c r="H17" t="s">
        <v>1628</v>
      </c>
    </row>
    <row r="18" spans="3:8">
      <c r="C18" t="s">
        <v>1655</v>
      </c>
      <c r="D18" t="s">
        <v>1343</v>
      </c>
      <c r="E18" t="s">
        <v>1656</v>
      </c>
      <c r="G18" t="s">
        <v>1657</v>
      </c>
    </row>
    <row r="19" spans="3:8">
      <c r="C19" t="s">
        <v>1658</v>
      </c>
      <c r="D19" t="s">
        <v>1659</v>
      </c>
      <c r="E19" t="s">
        <v>1660</v>
      </c>
      <c r="G19" t="s">
        <v>1661</v>
      </c>
    </row>
    <row r="20" spans="3:8">
      <c r="C20" t="s">
        <v>1447</v>
      </c>
      <c r="D20" t="s">
        <v>1152</v>
      </c>
      <c r="E20" t="s">
        <v>1662</v>
      </c>
      <c r="G20" t="s">
        <v>1663</v>
      </c>
    </row>
    <row r="21" spans="3:8">
      <c r="C21" t="s">
        <v>1664</v>
      </c>
      <c r="D21" t="s">
        <v>1486</v>
      </c>
      <c r="E21" t="s">
        <v>161</v>
      </c>
      <c r="G21" t="s">
        <v>303</v>
      </c>
    </row>
    <row r="22" spans="3:8">
      <c r="D22" t="s">
        <v>282</v>
      </c>
      <c r="E22" t="s">
        <v>1665</v>
      </c>
      <c r="G22" t="s">
        <v>1666</v>
      </c>
    </row>
    <row r="23" spans="3:8">
      <c r="D23" t="s">
        <v>1667</v>
      </c>
      <c r="E23" t="s">
        <v>1452</v>
      </c>
      <c r="G23" t="s">
        <v>171</v>
      </c>
    </row>
    <row r="24" spans="3:8">
      <c r="D24" t="s">
        <v>1668</v>
      </c>
      <c r="E24" t="s">
        <v>1629</v>
      </c>
      <c r="G24" t="s">
        <v>364</v>
      </c>
    </row>
    <row r="25" spans="3:8">
      <c r="D25" t="s">
        <v>1669</v>
      </c>
      <c r="E25" t="s">
        <v>123</v>
      </c>
      <c r="G25" t="s">
        <v>861</v>
      </c>
    </row>
    <row r="26" spans="3:8">
      <c r="D26" t="s">
        <v>1153</v>
      </c>
      <c r="E26" t="s">
        <v>1670</v>
      </c>
      <c r="G26" t="s">
        <v>484</v>
      </c>
    </row>
    <row r="27" spans="3:8">
      <c r="D27" t="s">
        <v>1671</v>
      </c>
      <c r="E27" t="s">
        <v>1672</v>
      </c>
      <c r="G27" t="s">
        <v>1673</v>
      </c>
    </row>
    <row r="28" spans="3:8">
      <c r="D28" t="s">
        <v>1494</v>
      </c>
      <c r="E28" t="s">
        <v>1674</v>
      </c>
      <c r="G28" t="s">
        <v>1675</v>
      </c>
    </row>
    <row r="29" spans="3:8">
      <c r="D29" t="s">
        <v>1676</v>
      </c>
      <c r="E29" t="s">
        <v>1465</v>
      </c>
      <c r="G29" t="s">
        <v>1677</v>
      </c>
    </row>
    <row r="30" spans="3:8">
      <c r="D30" t="s">
        <v>1678</v>
      </c>
      <c r="E30" t="s">
        <v>332</v>
      </c>
      <c r="G30" t="s">
        <v>1679</v>
      </c>
    </row>
    <row r="31" spans="3:8">
      <c r="D31" t="s">
        <v>1680</v>
      </c>
      <c r="E31" t="s">
        <v>1681</v>
      </c>
      <c r="G31" t="s">
        <v>1682</v>
      </c>
    </row>
    <row r="32" spans="3:8">
      <c r="D32" t="s">
        <v>1683</v>
      </c>
      <c r="E32" t="s">
        <v>1684</v>
      </c>
      <c r="G32" t="s">
        <v>1685</v>
      </c>
    </row>
    <row r="33" spans="4:7">
      <c r="D33" t="s">
        <v>1069</v>
      </c>
      <c r="E33" t="s">
        <v>1686</v>
      </c>
      <c r="G33" t="s">
        <v>1453</v>
      </c>
    </row>
    <row r="34" spans="4:7">
      <c r="D34" t="s">
        <v>1687</v>
      </c>
      <c r="E34" t="s">
        <v>1116</v>
      </c>
      <c r="G34" t="s">
        <v>250</v>
      </c>
    </row>
    <row r="35" spans="4:7">
      <c r="D35" t="s">
        <v>1688</v>
      </c>
      <c r="E35" t="s">
        <v>190</v>
      </c>
      <c r="G35" t="s">
        <v>214</v>
      </c>
    </row>
    <row r="36" spans="4:7">
      <c r="D36" t="s">
        <v>1689</v>
      </c>
      <c r="E36" t="s">
        <v>1690</v>
      </c>
      <c r="G36" t="s">
        <v>1691</v>
      </c>
    </row>
    <row r="37" spans="4:7">
      <c r="D37" t="s">
        <v>1692</v>
      </c>
      <c r="E37" t="s">
        <v>1693</v>
      </c>
      <c r="G37" t="s">
        <v>1694</v>
      </c>
    </row>
    <row r="38" spans="4:7">
      <c r="D38" t="s">
        <v>1695</v>
      </c>
      <c r="E38" t="s">
        <v>1696</v>
      </c>
      <c r="G38" t="s">
        <v>1697</v>
      </c>
    </row>
    <row r="39" spans="4:7">
      <c r="D39" t="s">
        <v>1698</v>
      </c>
      <c r="E39" t="s">
        <v>1699</v>
      </c>
      <c r="G39" t="s">
        <v>1700</v>
      </c>
    </row>
    <row r="40" spans="4:7">
      <c r="D40" t="s">
        <v>1701</v>
      </c>
      <c r="E40" t="s">
        <v>1702</v>
      </c>
      <c r="G40" t="s">
        <v>272</v>
      </c>
    </row>
    <row r="41" spans="4:7">
      <c r="D41" t="s">
        <v>1111</v>
      </c>
      <c r="E41" t="s">
        <v>1041</v>
      </c>
      <c r="G41" t="s">
        <v>1703</v>
      </c>
    </row>
    <row r="42" spans="4:7">
      <c r="D42" t="s">
        <v>1704</v>
      </c>
      <c r="E42" t="s">
        <v>1122</v>
      </c>
      <c r="G42" t="s">
        <v>1705</v>
      </c>
    </row>
    <row r="43" spans="4:7">
      <c r="D43" t="s">
        <v>1629</v>
      </c>
      <c r="E43" t="s">
        <v>1135</v>
      </c>
      <c r="G43" t="s">
        <v>1706</v>
      </c>
    </row>
    <row r="44" spans="4:7">
      <c r="D44" t="s">
        <v>1652</v>
      </c>
      <c r="E44" t="s">
        <v>1707</v>
      </c>
      <c r="G44" t="s">
        <v>1708</v>
      </c>
    </row>
    <row r="45" spans="4:7">
      <c r="D45" t="s">
        <v>1334</v>
      </c>
      <c r="E45" t="s">
        <v>562</v>
      </c>
      <c r="G45" t="s">
        <v>1709</v>
      </c>
    </row>
    <row r="46" spans="4:7">
      <c r="D46" t="s">
        <v>320</v>
      </c>
      <c r="E46" t="s">
        <v>1642</v>
      </c>
      <c r="G46" t="s">
        <v>1710</v>
      </c>
    </row>
    <row r="47" spans="4:7">
      <c r="D47" t="s">
        <v>1430</v>
      </c>
      <c r="E47" t="s">
        <v>604</v>
      </c>
      <c r="G47" t="s">
        <v>410</v>
      </c>
    </row>
    <row r="48" spans="4:7">
      <c r="D48" t="s">
        <v>757</v>
      </c>
      <c r="E48" t="s">
        <v>248</v>
      </c>
      <c r="G48" t="s">
        <v>1711</v>
      </c>
    </row>
    <row r="49" spans="4:7">
      <c r="D49" t="s">
        <v>1712</v>
      </c>
      <c r="G49" t="s">
        <v>295</v>
      </c>
    </row>
    <row r="50" spans="4:7">
      <c r="D50" t="s">
        <v>1713</v>
      </c>
      <c r="G50" t="s">
        <v>1714</v>
      </c>
    </row>
    <row r="51" spans="4:7">
      <c r="D51" t="s">
        <v>1715</v>
      </c>
      <c r="G51" t="s">
        <v>1716</v>
      </c>
    </row>
    <row r="52" spans="4:7">
      <c r="D52" t="s">
        <v>1717</v>
      </c>
      <c r="G52" t="s">
        <v>1718</v>
      </c>
    </row>
    <row r="53" spans="4:7">
      <c r="D53" t="s">
        <v>1358</v>
      </c>
      <c r="G53" t="s">
        <v>1719</v>
      </c>
    </row>
    <row r="54" spans="4:7">
      <c r="D54" t="s">
        <v>1720</v>
      </c>
      <c r="G54" t="s">
        <v>1721</v>
      </c>
    </row>
    <row r="55" spans="4:7">
      <c r="D55" t="s">
        <v>1722</v>
      </c>
      <c r="G55" t="s">
        <v>647</v>
      </c>
    </row>
    <row r="56" spans="4:7">
      <c r="D56" t="s">
        <v>1723</v>
      </c>
      <c r="G56" t="s">
        <v>1724</v>
      </c>
    </row>
    <row r="57" spans="4:7">
      <c r="D57" t="s">
        <v>1407</v>
      </c>
      <c r="G57" t="s">
        <v>393</v>
      </c>
    </row>
    <row r="58" spans="4:7">
      <c r="D58" t="s">
        <v>1725</v>
      </c>
      <c r="G58" t="s">
        <v>1726</v>
      </c>
    </row>
    <row r="59" spans="4:7">
      <c r="D59" t="s">
        <v>1727</v>
      </c>
      <c r="G59" t="s">
        <v>1728</v>
      </c>
    </row>
    <row r="60" spans="4:7">
      <c r="D60" t="s">
        <v>1729</v>
      </c>
      <c r="G60" t="s">
        <v>1730</v>
      </c>
    </row>
    <row r="61" spans="4:7">
      <c r="D61" t="s">
        <v>1731</v>
      </c>
      <c r="G61" t="s">
        <v>1732</v>
      </c>
    </row>
    <row r="62" spans="4:7">
      <c r="D62" t="s">
        <v>1733</v>
      </c>
      <c r="G62" t="s">
        <v>1734</v>
      </c>
    </row>
    <row r="63" spans="4:7">
      <c r="D63" t="s">
        <v>1735</v>
      </c>
      <c r="G63" t="s">
        <v>1736</v>
      </c>
    </row>
    <row r="64" spans="4:7">
      <c r="D64" t="s">
        <v>1737</v>
      </c>
      <c r="G64" t="s">
        <v>1738</v>
      </c>
    </row>
    <row r="65" spans="4:7">
      <c r="D65" t="s">
        <v>1739</v>
      </c>
      <c r="G65" t="s">
        <v>977</v>
      </c>
    </row>
    <row r="66" spans="4:7">
      <c r="D66" t="s">
        <v>1740</v>
      </c>
      <c r="G66" t="s">
        <v>1741</v>
      </c>
    </row>
    <row r="67" spans="4:7">
      <c r="D67" t="s">
        <v>1214</v>
      </c>
      <c r="G67" t="s">
        <v>526</v>
      </c>
    </row>
    <row r="68" spans="4:7">
      <c r="D68" t="s">
        <v>1742</v>
      </c>
      <c r="G68" t="s">
        <v>1743</v>
      </c>
    </row>
    <row r="69" spans="4:7">
      <c r="D69" t="s">
        <v>1744</v>
      </c>
      <c r="G69" t="s">
        <v>1745</v>
      </c>
    </row>
    <row r="70" spans="4:7">
      <c r="D70" t="s">
        <v>1746</v>
      </c>
      <c r="G70" t="s">
        <v>1747</v>
      </c>
    </row>
    <row r="71" spans="4:7">
      <c r="D71" t="s">
        <v>1748</v>
      </c>
      <c r="G71" t="s">
        <v>1749</v>
      </c>
    </row>
    <row r="72" spans="4:7">
      <c r="D72" t="s">
        <v>1681</v>
      </c>
      <c r="G72" t="s">
        <v>1750</v>
      </c>
    </row>
    <row r="73" spans="4:7">
      <c r="D73" t="s">
        <v>1751</v>
      </c>
      <c r="G73" t="s">
        <v>1752</v>
      </c>
    </row>
    <row r="74" spans="4:7">
      <c r="D74" t="s">
        <v>1753</v>
      </c>
      <c r="G74" t="s">
        <v>1754</v>
      </c>
    </row>
    <row r="75" spans="4:7">
      <c r="D75" t="s">
        <v>1755</v>
      </c>
      <c r="G75" t="s">
        <v>1756</v>
      </c>
    </row>
    <row r="76" spans="4:7">
      <c r="D76" t="s">
        <v>1757</v>
      </c>
      <c r="G76" t="s">
        <v>1758</v>
      </c>
    </row>
    <row r="77" spans="4:7">
      <c r="D77" t="s">
        <v>1759</v>
      </c>
      <c r="G77" t="s">
        <v>1760</v>
      </c>
    </row>
    <row r="78" spans="4:7">
      <c r="D78" t="s">
        <v>1230</v>
      </c>
      <c r="G78" t="s">
        <v>1761</v>
      </c>
    </row>
    <row r="79" spans="4:7">
      <c r="D79" t="s">
        <v>1762</v>
      </c>
      <c r="G79" t="s">
        <v>134</v>
      </c>
    </row>
    <row r="80" spans="4:7">
      <c r="D80" t="s">
        <v>1763</v>
      </c>
      <c r="G80" t="s">
        <v>1764</v>
      </c>
    </row>
    <row r="81" spans="4:7">
      <c r="D81" t="s">
        <v>860</v>
      </c>
      <c r="G81" t="s">
        <v>1765</v>
      </c>
    </row>
    <row r="82" spans="4:7">
      <c r="D82" t="s">
        <v>1766</v>
      </c>
      <c r="G82" t="s">
        <v>1767</v>
      </c>
    </row>
    <row r="83" spans="4:7">
      <c r="D83" t="s">
        <v>1768</v>
      </c>
      <c r="G83" t="s">
        <v>1769</v>
      </c>
    </row>
    <row r="84" spans="4:7">
      <c r="D84" t="s">
        <v>1770</v>
      </c>
      <c r="G84" t="s">
        <v>1771</v>
      </c>
    </row>
    <row r="85" spans="4:7">
      <c r="D85" t="s">
        <v>1772</v>
      </c>
      <c r="G85" t="s">
        <v>1773</v>
      </c>
    </row>
    <row r="86" spans="4:7">
      <c r="D86" t="s">
        <v>1774</v>
      </c>
      <c r="G86" t="s">
        <v>1775</v>
      </c>
    </row>
    <row r="87" spans="4:7">
      <c r="D87" t="s">
        <v>1776</v>
      </c>
      <c r="G87" t="s">
        <v>1777</v>
      </c>
    </row>
    <row r="88" spans="4:7">
      <c r="D88" t="s">
        <v>1464</v>
      </c>
      <c r="G88" t="s">
        <v>1778</v>
      </c>
    </row>
    <row r="89" spans="4:7">
      <c r="D89" t="s">
        <v>1779</v>
      </c>
      <c r="G89" t="s">
        <v>1780</v>
      </c>
    </row>
    <row r="90" spans="4:7">
      <c r="D90" t="s">
        <v>1781</v>
      </c>
      <c r="G90" t="s">
        <v>1782</v>
      </c>
    </row>
    <row r="91" spans="4:7">
      <c r="D91" t="s">
        <v>1783</v>
      </c>
      <c r="G91" t="s">
        <v>1784</v>
      </c>
    </row>
    <row r="92" spans="4:7">
      <c r="D92" t="s">
        <v>1785</v>
      </c>
      <c r="G92" t="s">
        <v>1786</v>
      </c>
    </row>
    <row r="93" spans="4:7">
      <c r="D93" t="s">
        <v>1787</v>
      </c>
      <c r="G93" t="s">
        <v>1788</v>
      </c>
    </row>
    <row r="94" spans="4:7">
      <c r="D94" t="s">
        <v>1789</v>
      </c>
      <c r="G94" t="s">
        <v>260</v>
      </c>
    </row>
    <row r="95" spans="4:7">
      <c r="D95" t="s">
        <v>1134</v>
      </c>
      <c r="G95" t="s">
        <v>1790</v>
      </c>
    </row>
    <row r="96" spans="4:7">
      <c r="D96" t="s">
        <v>1791</v>
      </c>
      <c r="G96" t="s">
        <v>1792</v>
      </c>
    </row>
    <row r="97" spans="4:7">
      <c r="D97" t="s">
        <v>1793</v>
      </c>
      <c r="G97" t="s">
        <v>660</v>
      </c>
    </row>
    <row r="98" spans="4:7">
      <c r="D98" t="s">
        <v>190</v>
      </c>
      <c r="G98" t="s">
        <v>1794</v>
      </c>
    </row>
    <row r="99" spans="4:7">
      <c r="D99" t="s">
        <v>1795</v>
      </c>
      <c r="G99" t="s">
        <v>775</v>
      </c>
    </row>
    <row r="100" spans="4:7">
      <c r="D100" t="s">
        <v>1796</v>
      </c>
      <c r="G100" t="s">
        <v>910</v>
      </c>
    </row>
    <row r="101" spans="4:7">
      <c r="D101" t="s">
        <v>1797</v>
      </c>
      <c r="G101" t="s">
        <v>1798</v>
      </c>
    </row>
    <row r="102" spans="4:7">
      <c r="D102" t="s">
        <v>1799</v>
      </c>
      <c r="G102" t="s">
        <v>1800</v>
      </c>
    </row>
    <row r="103" spans="4:7">
      <c r="D103" t="s">
        <v>1801</v>
      </c>
      <c r="G103" t="s">
        <v>1802</v>
      </c>
    </row>
    <row r="104" spans="4:7">
      <c r="D104" t="s">
        <v>1803</v>
      </c>
      <c r="G104" t="s">
        <v>1804</v>
      </c>
    </row>
    <row r="105" spans="4:7">
      <c r="D105" t="s">
        <v>1805</v>
      </c>
      <c r="G105" t="s">
        <v>1806</v>
      </c>
    </row>
    <row r="106" spans="4:7">
      <c r="D106" t="s">
        <v>1807</v>
      </c>
      <c r="G106" t="s">
        <v>1808</v>
      </c>
    </row>
    <row r="107" spans="4:7">
      <c r="D107" t="s">
        <v>1809</v>
      </c>
      <c r="G107" t="s">
        <v>1810</v>
      </c>
    </row>
    <row r="108" spans="4:7">
      <c r="D108" t="s">
        <v>1811</v>
      </c>
      <c r="G108" t="s">
        <v>1812</v>
      </c>
    </row>
    <row r="109" spans="4:7">
      <c r="D109" t="s">
        <v>1813</v>
      </c>
      <c r="G109" t="s">
        <v>1814</v>
      </c>
    </row>
    <row r="110" spans="4:7">
      <c r="D110" t="s">
        <v>1815</v>
      </c>
      <c r="G110" t="s">
        <v>1816</v>
      </c>
    </row>
    <row r="111" spans="4:7">
      <c r="D111" t="s">
        <v>1817</v>
      </c>
      <c r="G111" t="s">
        <v>1818</v>
      </c>
    </row>
    <row r="112" spans="4:7">
      <c r="D112" t="s">
        <v>1819</v>
      </c>
      <c r="G112" t="s">
        <v>1820</v>
      </c>
    </row>
    <row r="113" spans="4:7">
      <c r="D113" t="s">
        <v>1821</v>
      </c>
      <c r="G113" t="s">
        <v>1822</v>
      </c>
    </row>
    <row r="114" spans="4:7">
      <c r="D114" t="s">
        <v>1823</v>
      </c>
      <c r="G114" t="s">
        <v>271</v>
      </c>
    </row>
    <row r="115" spans="4:7">
      <c r="D115" t="s">
        <v>1824</v>
      </c>
      <c r="G115" t="s">
        <v>1825</v>
      </c>
    </row>
    <row r="116" spans="4:7">
      <c r="D116" t="s">
        <v>1420</v>
      </c>
      <c r="G116" t="s">
        <v>1826</v>
      </c>
    </row>
    <row r="117" spans="4:7">
      <c r="D117" t="s">
        <v>1827</v>
      </c>
      <c r="G117" t="s">
        <v>1033</v>
      </c>
    </row>
    <row r="118" spans="4:7">
      <c r="D118" t="s">
        <v>1828</v>
      </c>
      <c r="G118" t="s">
        <v>1020</v>
      </c>
    </row>
    <row r="119" spans="4:7">
      <c r="D119" t="s">
        <v>1829</v>
      </c>
      <c r="G119" t="s">
        <v>1042</v>
      </c>
    </row>
    <row r="120" spans="4:7">
      <c r="D120" t="s">
        <v>1830</v>
      </c>
      <c r="G120" t="s">
        <v>1045</v>
      </c>
    </row>
    <row r="121" spans="4:7">
      <c r="D121" t="s">
        <v>1831</v>
      </c>
      <c r="G121" t="s">
        <v>989</v>
      </c>
    </row>
    <row r="122" spans="4:7">
      <c r="D122" t="s">
        <v>1832</v>
      </c>
      <c r="G122" t="s">
        <v>1833</v>
      </c>
    </row>
    <row r="123" spans="4:7">
      <c r="D123" t="s">
        <v>1834</v>
      </c>
      <c r="G123" t="s">
        <v>1117</v>
      </c>
    </row>
    <row r="124" spans="4:7">
      <c r="D124" t="s">
        <v>1835</v>
      </c>
      <c r="G124" t="s">
        <v>879</v>
      </c>
    </row>
    <row r="125" spans="4:7">
      <c r="D125" t="s">
        <v>1836</v>
      </c>
      <c r="G125" t="s">
        <v>1015</v>
      </c>
    </row>
    <row r="126" spans="4:7">
      <c r="D126" t="s">
        <v>1837</v>
      </c>
      <c r="G126" t="s">
        <v>758</v>
      </c>
    </row>
    <row r="127" spans="4:7">
      <c r="D127" t="s">
        <v>1838</v>
      </c>
      <c r="G127" t="s">
        <v>737</v>
      </c>
    </row>
    <row r="128" spans="4:7">
      <c r="D128" t="s">
        <v>1839</v>
      </c>
      <c r="G128" t="s">
        <v>136</v>
      </c>
    </row>
    <row r="129" spans="4:7">
      <c r="D129" t="s">
        <v>1840</v>
      </c>
      <c r="G129" t="s">
        <v>1070</v>
      </c>
    </row>
    <row r="130" spans="4:7">
      <c r="D130" t="s">
        <v>1841</v>
      </c>
      <c r="G130" t="s">
        <v>721</v>
      </c>
    </row>
    <row r="131" spans="4:7">
      <c r="D131" t="s">
        <v>1842</v>
      </c>
      <c r="G131" t="s">
        <v>512</v>
      </c>
    </row>
    <row r="132" spans="4:7">
      <c r="D132" t="s">
        <v>1843</v>
      </c>
      <c r="G132" t="s">
        <v>876</v>
      </c>
    </row>
    <row r="133" spans="4:7">
      <c r="D133" t="s">
        <v>1844</v>
      </c>
      <c r="G133" t="s">
        <v>224</v>
      </c>
    </row>
    <row r="134" spans="4:7">
      <c r="D134" t="s">
        <v>1845</v>
      </c>
      <c r="G134" t="s">
        <v>433</v>
      </c>
    </row>
    <row r="135" spans="4:7">
      <c r="D135" t="s">
        <v>1846</v>
      </c>
      <c r="G135" t="s">
        <v>715</v>
      </c>
    </row>
    <row r="136" spans="4:7">
      <c r="D136" t="s">
        <v>1847</v>
      </c>
      <c r="G136" t="s">
        <v>458</v>
      </c>
    </row>
    <row r="137" spans="4:7">
      <c r="D137" t="s">
        <v>1848</v>
      </c>
      <c r="G137" t="s">
        <v>1849</v>
      </c>
    </row>
    <row r="138" spans="4:7">
      <c r="D138" t="s">
        <v>1850</v>
      </c>
      <c r="G138" t="s">
        <v>342</v>
      </c>
    </row>
    <row r="139" spans="4:7">
      <c r="D139" t="s">
        <v>1851</v>
      </c>
      <c r="G139" t="s">
        <v>441</v>
      </c>
    </row>
    <row r="140" spans="4:7">
      <c r="D140" t="s">
        <v>1852</v>
      </c>
      <c r="G140" t="s">
        <v>984</v>
      </c>
    </row>
    <row r="141" spans="4:7">
      <c r="D141" t="s">
        <v>1853</v>
      </c>
      <c r="G141" t="s">
        <v>818</v>
      </c>
    </row>
    <row r="142" spans="4:7">
      <c r="D142" t="s">
        <v>1854</v>
      </c>
      <c r="G142" t="s">
        <v>899</v>
      </c>
    </row>
    <row r="143" spans="4:7">
      <c r="D143" t="s">
        <v>1855</v>
      </c>
      <c r="G143" t="s">
        <v>1123</v>
      </c>
    </row>
    <row r="144" spans="4:7">
      <c r="D144" t="s">
        <v>1856</v>
      </c>
      <c r="G144" t="s">
        <v>470</v>
      </c>
    </row>
    <row r="145" spans="4:7">
      <c r="D145" t="s">
        <v>1857</v>
      </c>
      <c r="G145" t="s">
        <v>1136</v>
      </c>
    </row>
    <row r="146" spans="4:7">
      <c r="D146" t="s">
        <v>1858</v>
      </c>
      <c r="G146" t="s">
        <v>1143</v>
      </c>
    </row>
    <row r="147" spans="4:7">
      <c r="D147" t="s">
        <v>1859</v>
      </c>
      <c r="G147" t="s">
        <v>1154</v>
      </c>
    </row>
    <row r="148" spans="4:7">
      <c r="D148" t="s">
        <v>1860</v>
      </c>
      <c r="G148" t="s">
        <v>1027</v>
      </c>
    </row>
    <row r="149" spans="4:7">
      <c r="D149" t="s">
        <v>1861</v>
      </c>
      <c r="G149" t="s">
        <v>614</v>
      </c>
    </row>
    <row r="150" spans="4:7">
      <c r="D150" t="s">
        <v>1862</v>
      </c>
      <c r="G150" t="s">
        <v>1215</v>
      </c>
    </row>
    <row r="151" spans="4:7">
      <c r="D151" t="s">
        <v>908</v>
      </c>
      <c r="G151" t="s">
        <v>1231</v>
      </c>
    </row>
    <row r="152" spans="4:7">
      <c r="D152" t="s">
        <v>1041</v>
      </c>
      <c r="G152" t="s">
        <v>865</v>
      </c>
    </row>
    <row r="153" spans="4:7">
      <c r="D153" t="s">
        <v>1122</v>
      </c>
      <c r="G153" t="s">
        <v>191</v>
      </c>
    </row>
    <row r="154" spans="4:7">
      <c r="D154" t="s">
        <v>1147</v>
      </c>
      <c r="G154" t="s">
        <v>313</v>
      </c>
    </row>
    <row r="155" spans="4:7">
      <c r="D155" t="s">
        <v>563</v>
      </c>
      <c r="G155" t="s">
        <v>697</v>
      </c>
    </row>
    <row r="156" spans="4:7">
      <c r="G156" t="s">
        <v>109</v>
      </c>
    </row>
    <row r="157" spans="4:7">
      <c r="G157" t="s">
        <v>124</v>
      </c>
    </row>
    <row r="158" spans="4:7">
      <c r="G158" t="s">
        <v>162</v>
      </c>
    </row>
    <row r="159" spans="4:7">
      <c r="G159" t="s">
        <v>323</v>
      </c>
    </row>
    <row r="160" spans="4:7">
      <c r="G160" t="s">
        <v>333</v>
      </c>
    </row>
    <row r="161" spans="7:7">
      <c r="G161" t="s">
        <v>357</v>
      </c>
    </row>
    <row r="162" spans="7:7">
      <c r="G162" t="s">
        <v>182</v>
      </c>
    </row>
    <row r="163" spans="7:7">
      <c r="G163" t="s">
        <v>239</v>
      </c>
    </row>
    <row r="164" spans="7:7">
      <c r="G164" t="s">
        <v>284</v>
      </c>
    </row>
    <row r="165" spans="7:7">
      <c r="G165" t="s">
        <v>1089</v>
      </c>
    </row>
    <row r="166" spans="7:7">
      <c r="G166" t="s">
        <v>1275</v>
      </c>
    </row>
    <row r="167" spans="7:7">
      <c r="G167" t="s">
        <v>1280</v>
      </c>
    </row>
    <row r="168" spans="7:7">
      <c r="G168" t="s">
        <v>605</v>
      </c>
    </row>
    <row r="169" spans="7:7">
      <c r="G169" t="s">
        <v>1425</v>
      </c>
    </row>
    <row r="170" spans="7:7">
      <c r="G170" t="s">
        <v>1453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AB7A7-6456-49C2-AFCF-84BE07592D4C}">
  <dimension ref="A1:J8"/>
  <sheetViews>
    <sheetView workbookViewId="0"/>
  </sheetViews>
  <sheetFormatPr defaultRowHeight="14.25"/>
  <cols>
    <col min="1" max="1" width="28.7109375" style="18" bestFit="1" customWidth="1"/>
    <col min="2" max="2" width="34.140625" style="18" bestFit="1" customWidth="1"/>
    <col min="3" max="3" width="25" style="18" bestFit="1" customWidth="1"/>
    <col min="4" max="4" width="21.42578125" style="18" bestFit="1" customWidth="1"/>
    <col min="5" max="5" width="24" style="18" bestFit="1" customWidth="1"/>
    <col min="6" max="6" width="21.140625" style="18" bestFit="1" customWidth="1"/>
    <col min="7" max="7" width="24.28515625" style="18" bestFit="1" customWidth="1"/>
    <col min="8" max="8" width="26.85546875" style="18" bestFit="1" customWidth="1"/>
    <col min="9" max="9" width="21.85546875" style="18" bestFit="1" customWidth="1"/>
    <col min="10" max="10" width="16.28515625" style="18" bestFit="1" customWidth="1"/>
    <col min="11" max="16384" width="9.140625" style="18"/>
  </cols>
  <sheetData>
    <row r="1" spans="1:10" ht="15">
      <c r="A1" s="19" t="s">
        <v>1863</v>
      </c>
      <c r="B1" s="19" t="s">
        <v>1864</v>
      </c>
      <c r="C1" s="19" t="s">
        <v>1865</v>
      </c>
      <c r="D1" s="19" t="s">
        <v>1866</v>
      </c>
      <c r="E1" s="19" t="s">
        <v>1867</v>
      </c>
      <c r="F1" s="19" t="s">
        <v>1868</v>
      </c>
      <c r="G1" s="19" t="s">
        <v>1869</v>
      </c>
      <c r="H1" s="19" t="s">
        <v>1870</v>
      </c>
      <c r="I1" s="19" t="s">
        <v>1871</v>
      </c>
      <c r="J1" s="19" t="s">
        <v>1872</v>
      </c>
    </row>
    <row r="2" spans="1:10">
      <c r="A2" s="18" t="s">
        <v>0</v>
      </c>
      <c r="B2" s="18" t="s">
        <v>4</v>
      </c>
      <c r="C2" s="18" t="s">
        <v>9</v>
      </c>
      <c r="D2" s="18" t="s">
        <v>13</v>
      </c>
      <c r="E2" s="18" t="s">
        <v>17</v>
      </c>
      <c r="F2" s="18" t="s">
        <v>22</v>
      </c>
      <c r="G2" s="18" t="s">
        <v>26</v>
      </c>
      <c r="H2" s="18" t="s">
        <v>31</v>
      </c>
      <c r="I2" s="18" t="s">
        <v>38</v>
      </c>
      <c r="J2" s="18" t="s">
        <v>40</v>
      </c>
    </row>
    <row r="3" spans="1:10">
      <c r="A3" s="18" t="s">
        <v>1</v>
      </c>
      <c r="B3" s="18" t="s">
        <v>6</v>
      </c>
      <c r="C3" s="18" t="s">
        <v>1873</v>
      </c>
      <c r="D3" s="18" t="s">
        <v>1614</v>
      </c>
      <c r="E3" s="18" t="s">
        <v>1874</v>
      </c>
      <c r="F3" s="18" t="s">
        <v>1875</v>
      </c>
      <c r="G3" s="18" t="s">
        <v>1876</v>
      </c>
      <c r="H3" s="18" t="s">
        <v>1877</v>
      </c>
    </row>
    <row r="4" spans="1:10">
      <c r="A4" s="18" t="s">
        <v>2</v>
      </c>
      <c r="B4" s="18" t="s">
        <v>7</v>
      </c>
      <c r="C4" s="18" t="s">
        <v>11</v>
      </c>
      <c r="D4" s="18" t="s">
        <v>15</v>
      </c>
      <c r="E4" s="18" t="s">
        <v>19</v>
      </c>
      <c r="F4" s="18" t="s">
        <v>25</v>
      </c>
      <c r="G4" s="18" t="s">
        <v>1878</v>
      </c>
      <c r="H4" s="18" t="s">
        <v>1879</v>
      </c>
    </row>
    <row r="5" spans="1:10">
      <c r="A5" s="18" t="s">
        <v>3</v>
      </c>
      <c r="B5" s="18" t="s">
        <v>8</v>
      </c>
      <c r="C5" s="18" t="s">
        <v>12</v>
      </c>
      <c r="D5" s="18" t="s">
        <v>16</v>
      </c>
      <c r="E5" s="18" t="s">
        <v>20</v>
      </c>
      <c r="G5" s="18" t="s">
        <v>37</v>
      </c>
      <c r="H5" s="18" t="s">
        <v>1880</v>
      </c>
    </row>
    <row r="6" spans="1:10">
      <c r="E6" s="18" t="s">
        <v>21</v>
      </c>
      <c r="H6" s="18" t="s">
        <v>35</v>
      </c>
    </row>
    <row r="7" spans="1:10">
      <c r="H7" s="18" t="s">
        <v>36</v>
      </c>
    </row>
    <row r="8" spans="1:10">
      <c r="H8" s="18"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13A0-A747-4893-874A-8F985FB4FA61}">
  <dimension ref="A1:C17"/>
  <sheetViews>
    <sheetView workbookViewId="0">
      <selection activeCell="B1" sqref="B1:B1048576"/>
    </sheetView>
  </sheetViews>
  <sheetFormatPr defaultRowHeight="15"/>
  <cols>
    <col min="1" max="1" width="32.7109375" style="1" customWidth="1"/>
    <col min="2" max="2" width="57.28515625" style="22" customWidth="1"/>
    <col min="3" max="3" width="52.42578125" customWidth="1"/>
  </cols>
  <sheetData>
    <row r="1" spans="1:3">
      <c r="A1" s="24" t="s">
        <v>1881</v>
      </c>
      <c r="B1" s="28" t="s">
        <v>1347</v>
      </c>
      <c r="C1" s="27" t="s">
        <v>1882</v>
      </c>
    </row>
    <row r="2" spans="1:3" ht="23.25" customHeight="1">
      <c r="A2" s="24" t="s">
        <v>32</v>
      </c>
      <c r="B2" s="25">
        <f>_xlfn.XLOOKUP($B$1,BASE!$AJ:$AJ,BASE!$AG:$AG,"No encontrado",0)</f>
        <v>46146</v>
      </c>
      <c r="C2" s="36" t="s">
        <v>1883</v>
      </c>
    </row>
    <row r="3" spans="1:3">
      <c r="A3" s="24" t="s">
        <v>1614</v>
      </c>
      <c r="B3" s="26" t="str">
        <f>_xlfn.XLOOKUP($B$1,BASE!$AJ:$AJ,BASE!$O:$O,"No encontrado",0)</f>
        <v>TECNICO/A</v>
      </c>
      <c r="C3" s="36"/>
    </row>
    <row r="4" spans="1:3">
      <c r="A4" s="24" t="s">
        <v>11</v>
      </c>
      <c r="B4" s="26" t="str">
        <f>_xlfn.XLOOKUP($B$1,BASE!$AJ:$AJ,BASE!$L:$L,"No encontrado",0)</f>
        <v>LABORATORIO</v>
      </c>
      <c r="C4" s="36"/>
    </row>
    <row r="5" spans="1:3">
      <c r="A5" s="24" t="s">
        <v>12</v>
      </c>
      <c r="B5" s="26" t="str">
        <f>_xlfn.XLOOKUP($B$1,BASE!$AJ:$AJ,BASE!$M:$M,"No encontrado",0)</f>
        <v>INTERNACION</v>
      </c>
      <c r="C5" s="23"/>
    </row>
    <row r="6" spans="1:3" ht="40.5" customHeight="1">
      <c r="A6" s="24" t="s">
        <v>36</v>
      </c>
      <c r="B6" s="26" t="str">
        <f>_xlfn.XLOOKUP($B$1,BASE!$AJ:$AJ,BASE!$AK:$AK,"No encontrado",0)</f>
        <v xml:space="preserve"> $1.615.215,71 bruto /	 $1.098.029,50 neto</v>
      </c>
      <c r="C6" s="23"/>
    </row>
    <row r="7" spans="1:3">
      <c r="A7" s="24" t="s">
        <v>1876</v>
      </c>
      <c r="B7" s="26" t="str">
        <f>_xlfn.XLOOKUP($B$1,BASE!$AJ:$AJ,BASE!$AD:$AD,"No encontrado",0)</f>
        <v>Lunes a Sábados 14 a 22 hs</v>
      </c>
      <c r="C7" s="23"/>
    </row>
    <row r="8" spans="1:3">
      <c r="A8" s="24" t="s">
        <v>37</v>
      </c>
      <c r="B8" s="26" t="str">
        <f>_xlfn.XLOOKUP($B$1,BASE!$AJ:$AJ,BASE!$AL:$AL,"No encontrado",0)</f>
        <v>122/75</v>
      </c>
      <c r="C8" s="23"/>
    </row>
    <row r="9" spans="1:3">
      <c r="A9" s="24" t="s">
        <v>26</v>
      </c>
      <c r="B9" s="26" t="str">
        <f>_xlfn.XLOOKUP($B$1,BASE!$AJ:$AJ,BASE!$AA:$AA,"No encontrado",0)</f>
        <v xml:space="preserve">Inderminado </v>
      </c>
      <c r="C9" s="23"/>
    </row>
    <row r="10" spans="1:3">
      <c r="A10" s="24" t="s">
        <v>1878</v>
      </c>
      <c r="B10" s="26" t="str">
        <f>_xlfn.XLOOKUP($B$1,BASE!$AJ:$AJ,BASE!$AE:$AE,"No encontrado",0)</f>
        <v>Sanatorio</v>
      </c>
      <c r="C10" s="23"/>
    </row>
    <row r="11" spans="1:3">
      <c r="A11" s="24" t="s">
        <v>15</v>
      </c>
      <c r="B11" s="26" t="str">
        <f>_xlfn.XLOOKUP($B$1,BASE!$AJ:$AJ,BASE!$P:$P,"No encontrado",0)</f>
        <v>Scarcelli</v>
      </c>
      <c r="C11" s="23"/>
    </row>
    <row r="12" spans="1:3">
      <c r="A12" s="24" t="s">
        <v>1884</v>
      </c>
      <c r="B12" s="26">
        <f>_xlfn.XLOOKUP($B$1,BASE!$AJ:$AJ,BASE!$X:$X,"No encontrado",0)</f>
        <v>0</v>
      </c>
      <c r="C12" s="23"/>
    </row>
    <row r="13" spans="1:3">
      <c r="A13" s="24" t="s">
        <v>1885</v>
      </c>
      <c r="B13" s="26" t="str">
        <f>_xlfn.XLOOKUP($B$1,BASE!$AJ:$AJ,BASE!$Y:$Y,"No encontrado",0)</f>
        <v>Violeta Chinski</v>
      </c>
      <c r="C13" s="23"/>
    </row>
    <row r="14" spans="1:3">
      <c r="A14" s="24" t="s">
        <v>3</v>
      </c>
      <c r="B14" s="26" t="str">
        <f>_xlfn.XLOOKUP($B$1,BASE!$AJ:$AJ,BASE!$D:$D,"No encontrado",0)</f>
        <v>Ema</v>
      </c>
      <c r="C14" s="23"/>
    </row>
    <row r="15" spans="1:3">
      <c r="A15" s="24" t="s">
        <v>22</v>
      </c>
      <c r="B15" s="26" t="str">
        <f>_xlfn.XLOOKUP($B$1,BASE!$AJ:$AJ,BASE!$W:$W,"No encontrado",0)</f>
        <v>Reemplazo</v>
      </c>
      <c r="C15" s="23"/>
    </row>
    <row r="16" spans="1:3">
      <c r="A16" s="24" t="s">
        <v>11</v>
      </c>
      <c r="B16" s="26" t="str">
        <f>_xlfn.XLOOKUP($B$1,BASE!$AJ:$AJ,BASE!$L:$L,"No encontrado",0)</f>
        <v>LABORATORIO</v>
      </c>
      <c r="C16" s="23"/>
    </row>
    <row r="17" spans="1:3">
      <c r="A17" s="24" t="s">
        <v>1886</v>
      </c>
      <c r="B17" s="26" t="str">
        <f>_xlfn.XLOOKUP($B$1,BASE!$AJ:$AJ,BASE!$M:$M,"No encontrado",0)</f>
        <v>INTERNACION</v>
      </c>
      <c r="C17" s="23"/>
    </row>
  </sheetData>
  <mergeCells count="1">
    <mergeCell ref="C2:C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009AE8C-ADB4-4EEC-B15F-17DE63D37EA2}">
          <x14:formula1>
            <xm:f>BASE!$AJ:$AJ</xm:f>
          </x14:formula1>
          <xm:sqref>B1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Pablo Sanchez</dc:creator>
  <cp:keywords/>
  <dc:description/>
  <cp:lastModifiedBy/>
  <cp:revision/>
  <dcterms:created xsi:type="dcterms:W3CDTF">2026-02-20T13:20:05Z</dcterms:created>
  <dcterms:modified xsi:type="dcterms:W3CDTF">2026-04-28T12:26:11Z</dcterms:modified>
  <cp:category/>
  <cp:contentStatus/>
</cp:coreProperties>
</file>